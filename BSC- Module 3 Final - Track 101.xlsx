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Q_PRE" sheetId="1" r:id="rId5"/>
    <sheet state="visible" name="MCQ_MID" sheetId="2" r:id="rId6"/>
    <sheet state="visible" name="ANSWER_KEY" sheetId="3" r:id="rId7"/>
    <sheet state="visible" name="MCQ_POST" sheetId="4" r:id="rId8"/>
    <sheet state="visible" name="START" sheetId="5" r:id="rId9"/>
    <sheet state="visible" name="SIM" sheetId="6" r:id="rId10"/>
    <sheet state="visible" name="SHOCK" sheetId="7" r:id="rId11"/>
    <sheet state="visible" name="MODEL" sheetId="8" r:id="rId12"/>
    <sheet state="visible" name="SYSTEM_LOG" sheetId="9" r:id="rId13"/>
    <sheet state="visible" name="RESULTS" sheetId="10" r:id="rId14"/>
  </sheets>
  <definedNames/>
  <calcPr/>
</workbook>
</file>

<file path=xl/sharedStrings.xml><?xml version="1.0" encoding="utf-8"?>
<sst xmlns="http://schemas.openxmlformats.org/spreadsheetml/2006/main" count="411" uniqueCount="272">
  <si>
    <t>MCQ_PRE</t>
  </si>
  <si>
    <t>Q1. A startup chooses a strategy that succeeds most of the time, even without huge wins. Why is this smart?</t>
  </si>
  <si>
    <t>A) It avoids asymmetric information</t>
  </si>
  <si>
    <t>B) It increases noise</t>
  </si>
  <si>
    <t>C) It creates a market inefficiency</t>
  </si>
  <si>
    <t>D) It focuses on expected value</t>
  </si>
  <si>
    <t>Your Answer:</t>
  </si>
  <si>
    <t>Q2. A company has enough time to improve only ONE feature this month. If it chooses to improve battery life, what does it give up?</t>
  </si>
  <si>
    <t>A) More customers always want battery life</t>
  </si>
  <si>
    <t>B) Nothing — the other features can still be improved this month</t>
  </si>
  <si>
    <t>C) The chance to improve other features instead (like camera or speed)</t>
  </si>
  <si>
    <t>D) The company has less information than consumers</t>
  </si>
  <si>
    <t>Q3. Which information best shows real improvement?</t>
  </si>
  <si>
    <t>A) A viral headline</t>
  </si>
  <si>
    <t>B) One bad review</t>
  </si>
  <si>
    <t>C) Long-term performance data</t>
  </si>
  <si>
    <t>D) A rumor</t>
  </si>
  <si>
    <t>Q4. A startup focuses on what it does best instead of copying others. Why does this work?</t>
  </si>
  <si>
    <t>A) It uses comparative advantage</t>
  </si>
  <si>
    <t>B) It avoids randomness</t>
  </si>
  <si>
    <t>C)It increases expected value</t>
  </si>
  <si>
    <t>D) It creates symmetry</t>
  </si>
  <si>
    <t>Q5. A product is priced too low because people misunderstand its value. Why does this create opportunity?</t>
  </si>
  <si>
    <t>A) Efficiency improves</t>
  </si>
  <si>
    <t>B) A market inefficiency exists</t>
  </si>
  <si>
    <t>C) Opportunity cost disappears</t>
  </si>
  <si>
    <t>D) Noise increases</t>
  </si>
  <si>
    <t>Q6. One company has private customer data that others do not. Why does this matter?</t>
  </si>
  <si>
    <t>A) It increases efficiency</t>
  </si>
  <si>
    <t>B) It creates asymmetric information</t>
  </si>
  <si>
    <t>C) It removes opportunity cost</t>
  </si>
  <si>
    <t>D) It lowers expected value</t>
  </si>
  <si>
    <t>Q7. Which situation best shows efficiency?</t>
  </si>
  <si>
    <t>A) Trying many strategies</t>
  </si>
  <si>
    <t>B) Spending more to be safe</t>
  </si>
  <si>
    <t>C) Getting strong results with few resources</t>
  </si>
  <si>
    <t>D) Waiting for perfect information</t>
  </si>
  <si>
    <t>MCQ_MID</t>
  </si>
  <si>
    <t>Q1. You are forced to choose only two focus areas. Why does this rule exist?</t>
  </si>
  <si>
    <t>A) To reduce asymmetric information</t>
  </si>
  <si>
    <t>B) To force specialization</t>
  </si>
  <si>
    <t>C) To increase randomness</t>
  </si>
  <si>
    <t>D) To create inefficiency</t>
  </si>
  <si>
    <t>Q2. If you chose three focus areas instead of two, what is most likely to happen?</t>
  </si>
  <si>
    <t>A) Higher efficiency automatically</t>
  </si>
  <si>
    <t>B) Better expected value</t>
  </si>
  <si>
    <t>C) No downside at all</t>
  </si>
  <si>
    <t>D) Resources spread thinner</t>
  </si>
  <si>
    <t>D</t>
  </si>
  <si>
    <t>Q3. Two startups choose the same focus areas. One performs better because it wastes fewer resources. Why?</t>
  </si>
  <si>
    <t>A) Market inefficiency</t>
  </si>
  <si>
    <t>B) Efficiency</t>
  </si>
  <si>
    <t>C) Signal vs noise</t>
  </si>
  <si>
    <t>D) Asymmetric information</t>
  </si>
  <si>
    <t>Q4. You see one short-term spike, but long-term data stays flat. What is the safest conclusion?</t>
  </si>
  <si>
    <t>A) The spike may be noise</t>
  </si>
  <si>
    <t>B) Growth is guaranteed</t>
  </si>
  <si>
    <t>he spike may be noise</t>
  </si>
  <si>
    <t>C) The spike is the signal</t>
  </si>
  <si>
    <t>D) The market is inefficient</t>
  </si>
  <si>
    <t>Q5. A strategy works 7 out of 10 times but never gives huge wins. Why might it still be better?</t>
  </si>
  <si>
    <t>A) Lower opportunity cost</t>
  </si>
  <si>
    <t>B) Higher expected value</t>
  </si>
  <si>
    <t>C) Better comparative advantage</t>
  </si>
  <si>
    <t>D) Less noise</t>
  </si>
  <si>
    <t>Q6. Another startup has private customer data that you do not. What does this create?</t>
  </si>
  <si>
    <t>A) Efficiency</t>
  </si>
  <si>
    <t>B) Opportunity cost</t>
  </si>
  <si>
    <t>C) Asymmetric information</t>
  </si>
  <si>
    <t>D) Guaranteed success</t>
  </si>
  <si>
    <t>Q7. By committing resources early, your startup has fewer options later. Why is this risky?</t>
  </si>
  <si>
    <t>A) It increases noise</t>
  </si>
  <si>
    <t>B) It lowers expected value</t>
  </si>
  <si>
    <t>C) It raises opportunity cost</t>
  </si>
  <si>
    <t>D) It creates inefficiency</t>
  </si>
  <si>
    <t>SECTION</t>
  </si>
  <si>
    <t>QUESTION</t>
  </si>
  <si>
    <t>CORRECT</t>
  </si>
  <si>
    <t>PRIMARY_CONCEPT</t>
  </si>
  <si>
    <t>SECONDARY_CONCEPT</t>
  </si>
  <si>
    <t>PRE</t>
  </si>
  <si>
    <t>Expected Value</t>
  </si>
  <si>
    <t>C</t>
  </si>
  <si>
    <t>Opportunity Cost</t>
  </si>
  <si>
    <t>Signal vs. Noise</t>
  </si>
  <si>
    <t>A</t>
  </si>
  <si>
    <t>Comparative Advantage</t>
  </si>
  <si>
    <t>B</t>
  </si>
  <si>
    <t>Market Inefficiency</t>
  </si>
  <si>
    <t>Asymmetric Information</t>
  </si>
  <si>
    <t>Efficiency</t>
  </si>
  <si>
    <t>MID</t>
  </si>
  <si>
    <t>POST</t>
  </si>
  <si>
    <t>Signal vs Noise</t>
  </si>
  <si>
    <t>Signal Vs Noise</t>
  </si>
  <si>
    <t>MCQ_POST</t>
  </si>
  <si>
    <t>Q1. After the shock, startups that focused narrowly recovered faster. Why?</t>
  </si>
  <si>
    <t>A) They avoided noise</t>
  </si>
  <si>
    <t>B) They had better luck</t>
  </si>
  <si>
    <t>C) They used resources efficiently</t>
  </si>
  <si>
    <t>D) They eliminated opportunity cost</t>
  </si>
  <si>
    <t>Q2. One metric drops briefly, but the overall trend stays strong. What is the drop most likely?</t>
  </si>
  <si>
    <t>A) Signal</t>
  </si>
  <si>
    <t>B) Expected value</t>
  </si>
  <si>
    <t>C) Noise</t>
  </si>
  <si>
    <t>D) Efficiency</t>
  </si>
  <si>
    <t>Q3. A startup cannot respond well to the shock because it already used its resources earlier. Why?</t>
  </si>
  <si>
    <t>D) Noise</t>
  </si>
  <si>
    <t>Q4. Your strategy did not always win, but it performed well over time. Why is that still success?</t>
  </si>
  <si>
    <t>A) It avoided inefficiency</t>
  </si>
  <si>
    <t>B) It reduced noise</t>
  </si>
  <si>
    <t>C) It had strong expected value</t>
  </si>
  <si>
    <t>D) It created symmetry</t>
  </si>
  <si>
    <t>Q5. A startup gains an edge by focusing on something others ignored. Why does this work?</t>
  </si>
  <si>
    <t>B) Noise reduction</t>
  </si>
  <si>
    <t>C) Opportunity cost</t>
  </si>
  <si>
    <t>Q6. A competitor looks strong publicly but secretly has major problems. Why is this dangerous?</t>
  </si>
  <si>
    <t>A) Efficiency drops</t>
  </si>
  <si>
    <t>B) Opportunity cost rises</t>
  </si>
  <si>
    <t>C) Information is asymmetric</t>
  </si>
  <si>
    <t>D) Expected value changes</t>
  </si>
  <si>
    <t>Q7. A student spends all evening on one assignment and has no time left for others. What explains this?</t>
  </si>
  <si>
    <t>B) Noise</t>
  </si>
  <si>
    <t>D) Market inefficiency</t>
  </si>
  <si>
    <t>Q8. A student ignores one bad quiz grade and focuses on their semester average. Why is this smart?</t>
  </si>
  <si>
    <t>A) It avoids signal</t>
  </si>
  <si>
    <t>B) It ignores noise</t>
  </si>
  <si>
    <t>C) It increases efficiency</t>
  </si>
  <si>
    <t>D) It lowers opportunity cost</t>
  </si>
  <si>
    <t>Q9. Two students split a project so each works on what they do best. Why does this work?</t>
  </si>
  <si>
    <t>A) Expected value</t>
  </si>
  <si>
    <t>B) Comparative advantage</t>
  </si>
  <si>
    <t>C) Market inefficiency</t>
  </si>
  <si>
    <t>Q10. You choose a study method that works most weeks instead of one that rarely works. Why?</t>
  </si>
  <si>
    <t>A) Less noise</t>
  </si>
  <si>
    <t>C) Lower efficiency</t>
  </si>
  <si>
    <t>D) Less opportunity cost</t>
  </si>
  <si>
    <t>Q11. You finish homework faster by staying focused instead of multitasking. Why does this work?</t>
  </si>
  <si>
    <t>A) Noise</t>
  </si>
  <si>
    <t>BOW SPORTS CAPITAL — MODULE 3</t>
  </si>
  <si>
    <t>Specialization + Decision Tradeoffs Simulation (Pre‑Shock)</t>
  </si>
  <si>
    <t>Scenario</t>
  </si>
  <si>
    <t>You are running a food‑delivery startup in mid‑size U.S. cities. Your job is to build a system that works for customers, restaurants, and drivers.
Key constraint: you cannot be great at everything. Where you focus changes what improves — and what you give up.</t>
  </si>
  <si>
    <t>Goal</t>
  </si>
  <si>
    <t>Build a strong, focused startup. Your target is to keep ALL four system scores high:
Orders, Partners, Platform Health, and Market Position.</t>
  </si>
  <si>
    <t>How it works</t>
  </si>
  <si>
    <t>1) Choose 1–2 focus areas (specialize).
2) If you choose 2, pick how you split your effort (e.g., 60/40).
3) Your choices produce scores. Some combinations work better together.
4) Trying to focus on 3+ areas spreads you thin and hurts performance.</t>
  </si>
  <si>
    <t>Student Email</t>
  </si>
  <si>
    <t>MODULE 3 — SIMULATION (STUDENT DECISION BOARD)</t>
  </si>
  <si>
    <t>Goal: build a startup that performs well across 4 system scores. Choose 1–2 focus areas, then run the SIM from the Module 3 menu.</t>
  </si>
  <si>
    <t>PHASE 1 — CHOOSE YOUR FOCUS (CHECK 1 OR 2)</t>
  </si>
  <si>
    <t>Focus Area</t>
  </si>
  <si>
    <t>Key</t>
  </si>
  <si>
    <t>What it means</t>
  </si>
  <si>
    <t>Selected?</t>
  </si>
  <si>
    <t>Focus Count</t>
  </si>
  <si>
    <t>Product Quality</t>
  </si>
  <si>
    <t>QUALITY</t>
  </si>
  <si>
    <t>App reliability + order accuracy</t>
  </si>
  <si>
    <t>Status</t>
  </si>
  <si>
    <t>Customer Growth</t>
  </si>
  <si>
    <t>GROWTH</t>
  </si>
  <si>
    <t>Marketing + promotions</t>
  </si>
  <si>
    <t>Cost Control</t>
  </si>
  <si>
    <t>COST</t>
  </si>
  <si>
    <t>Reduce waste + improve efficiency</t>
  </si>
  <si>
    <t>Partner Relations</t>
  </si>
  <si>
    <t>PARTNERS</t>
  </si>
  <si>
    <t>Support restaurants + drivers</t>
  </si>
  <si>
    <t>Innovation</t>
  </si>
  <si>
    <t>INNOVATION</t>
  </si>
  <si>
    <t>New features + experiments (high risk / high reward)</t>
  </si>
  <si>
    <t>PHASE 2 — ALLOCATION (ONLY IF YOU PICKED TWO)</t>
  </si>
  <si>
    <t>Effort Split</t>
  </si>
  <si>
    <t>This allocation splits effort between the two selected focus areas above.Balanced is safer. Extreme splits are higher risk / higher reward.</t>
  </si>
  <si>
    <t>Selected Focus #1</t>
  </si>
  <si>
    <t>Selected Focus #2</t>
  </si>
  <si>
    <t>SYSTEM SCORES (AUTO-CALCULATED AFTER YOU RUN SIM)</t>
  </si>
  <si>
    <t>Score</t>
  </si>
  <si>
    <t>What it represents</t>
  </si>
  <si>
    <t>Value (0–100)</t>
  </si>
  <si>
    <t>Customer Demand</t>
  </si>
  <si>
    <t>How many customers want to use your service.</t>
  </si>
  <si>
    <t>Cost Efficiency</t>
  </si>
  <si>
    <t>How well you avoid wasting money/time.</t>
  </si>
  <si>
    <t>Partner Stability</t>
  </si>
  <si>
    <t>Whether partners want to stay with you.</t>
  </si>
  <si>
    <t>Innovation Momentum</t>
  </si>
  <si>
    <t>How much your new ideas help (can be risky).</t>
  </si>
  <si>
    <t>System Health (Average)</t>
  </si>
  <si>
    <t>Average of the four system scores.</t>
  </si>
  <si>
    <t>Shock Sensitivity</t>
  </si>
  <si>
    <t>Allocation Extremeness</t>
  </si>
  <si>
    <t>Weak System Flag</t>
  </si>
  <si>
    <t>Student Tip: Pick 2 focuses for stability. Pick 1 focus for a bigger swing. Then run SIM from the Module 3 menu.</t>
  </si>
  <si>
    <t>MODULE 3 — MARKET SHOCK (POST-SHOCK RESULTS)</t>
  </si>
  <si>
    <t>A market change hits your startup. Pick one response. Results update automatically.</t>
  </si>
  <si>
    <t>STEP 1 — SELECT SHOCK SCENARIO</t>
  </si>
  <si>
    <t>Shock Scenario</t>
  </si>
  <si>
    <t xml:space="preserve">THE SCENARIO WILL APPEAR IN YOUR EMAIL </t>
  </si>
  <si>
    <t>STEP 2 — CHOOSE ONE RESPONSE</t>
  </si>
  <si>
    <t>Your Response</t>
  </si>
  <si>
    <t>Choose a response.</t>
  </si>
  <si>
    <t>RESULTS (PRE-SHOCK VS POST-SHOCK)</t>
  </si>
  <si>
    <t>Metric</t>
  </si>
  <si>
    <t>Pre-Shock</t>
  </si>
  <si>
    <t>Scenario Effect</t>
  </si>
  <si>
    <t>Response Effect</t>
  </si>
  <si>
    <t>Post-Shock</t>
  </si>
  <si>
    <t>Orders</t>
  </si>
  <si>
    <t>Partners</t>
  </si>
  <si>
    <t>Platform Health</t>
  </si>
  <si>
    <t>Market Position</t>
  </si>
  <si>
    <t>Post-Shock System Health</t>
  </si>
  <si>
    <t>FINAL STATUS</t>
  </si>
  <si>
    <t>EMAIL SUMMARY (FOR AUTOMATED EMAIL LATER)</t>
  </si>
  <si>
    <t>MODULE 3 — MODEL (TEACHER / ENGINE)</t>
  </si>
  <si>
    <t>This sheet stores shock scenarios, response effects, and pass criteria.</t>
  </si>
  <si>
    <t>PASS CRITERIA (PRE-SHOCK + POST-SHOCK)</t>
  </si>
  <si>
    <t>Rule</t>
  </si>
  <si>
    <t>Value</t>
  </si>
  <si>
    <t>System Health Pass Threshold</t>
  </si>
  <si>
    <t>Minimum Metric Floor (each)</t>
  </si>
  <si>
    <t>Strong Band (System Health)</t>
  </si>
  <si>
    <t>SHOCK SCENARIOS (CHOOSE ONE IN SHOCK SHEET)</t>
  </si>
  <si>
    <t>Platform</t>
  </si>
  <si>
    <t>Market Pos.</t>
  </si>
  <si>
    <t>Description</t>
  </si>
  <si>
    <t>COST_SPIKE</t>
  </si>
  <si>
    <t>Fuel + labor costs rise. Everything is more expensive.</t>
  </si>
  <si>
    <t>KEY</t>
  </si>
  <si>
    <t>Notes</t>
  </si>
  <si>
    <t>PARTNER_EXIT</t>
  </si>
  <si>
    <t>Some restaurants/drivers consider leaving for a competitor.</t>
  </si>
  <si>
    <t>QUALITY|PARTNERS</t>
  </si>
  <si>
    <t>synergy</t>
  </si>
  <si>
    <t>COMPETITOR_DISCOUNT</t>
  </si>
  <si>
    <t>A big competitor offers big discounts to steal customers.</t>
  </si>
  <si>
    <t>PARTNERS|QUALITY</t>
  </si>
  <si>
    <t>GROWTH|INNOVATION</t>
  </si>
  <si>
    <t>INNOVATION|GROWTH</t>
  </si>
  <si>
    <t>RESPONSE EFFECTS (APPLIED ON TOP OF SCENARIO)</t>
  </si>
  <si>
    <t>Response</t>
  </si>
  <si>
    <t>Efficiency Note</t>
  </si>
  <si>
    <t>QUALITY|COST</t>
  </si>
  <si>
    <t>Raise prices</t>
  </si>
  <si>
    <t>Higher margins but demand can drop.</t>
  </si>
  <si>
    <t>COST|GROWTH</t>
  </si>
  <si>
    <t>Cut costs</t>
  </si>
  <si>
    <t>Efficiency move; protects platform but may hurt partners.</t>
  </si>
  <si>
    <t>GROWTH|COST</t>
  </si>
  <si>
    <t>Accept lower profit</t>
  </si>
  <si>
    <t>Keeps demand/partners but platform takes the hit.</t>
  </si>
  <si>
    <t>Reduce service levels</t>
  </si>
  <si>
    <t>Short-term savings but hurts experience and partners.</t>
  </si>
  <si>
    <t>Timestamp</t>
  </si>
  <si>
    <t>Email</t>
  </si>
  <si>
    <t>Action</t>
  </si>
  <si>
    <t>Correct</t>
  </si>
  <si>
    <t>Total</t>
  </si>
  <si>
    <t>Percent</t>
  </si>
  <si>
    <t>Notes / JSON</t>
  </si>
  <si>
    <t>BOW SPORTS CAPITAL — MODULE 3 RESULTS</t>
  </si>
  <si>
    <t>MCQ PRE</t>
  </si>
  <si>
    <t>MCQ MID</t>
  </si>
  <si>
    <t>MCQ POST</t>
  </si>
  <si>
    <t>OVERALL</t>
  </si>
  <si>
    <t>—</t>
  </si>
  <si>
    <t>STATUS: —</t>
  </si>
  <si>
    <t>CONCEPT</t>
  </si>
  <si>
    <t>MASTERY</t>
  </si>
  <si>
    <t>FINAL FEEDBACK / FAIL REASON WILL APPEAR 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</si>
</sst>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i/>
      <color theme="1"/>
      <name val="Calibri"/>
    </font>
    <font>
      <color theme="1"/>
      <name val="Arial"/>
      <scheme val="minor"/>
    </font>
    <font/>
    <font>
      <color theme="1"/>
      <name val="Arial"/>
    </font>
    <font>
      <b/>
      <sz val="16.0"/>
      <color rgb="FFFFFFFF"/>
      <name val="Calibri"/>
    </font>
    <font>
      <sz val="11.0"/>
      <color rgb="FFE5E7EB"/>
      <name val="Calibri"/>
    </font>
    <font>
      <b/>
      <sz val="11.0"/>
      <color rgb="FFFFFFFF"/>
      <name val="Calibri"/>
    </font>
    <font>
      <sz val="11.0"/>
      <color rgb="FF111827"/>
      <name val="Calibri"/>
    </font>
    <font>
      <b/>
      <sz val="14.0"/>
      <color rgb="FFFFFFFF"/>
      <name val="Calibri"/>
    </font>
    <font>
      <i/>
      <sz val="11.0"/>
      <color rgb="FF93C5FD"/>
      <name val="Calibri"/>
    </font>
    <font>
      <b/>
      <color theme="1"/>
      <name val="Calibri"/>
    </font>
    <font>
      <color theme="1"/>
      <name val="Calibri"/>
    </font>
    <font>
      <i/>
      <sz val="11.0"/>
      <color rgb="FF334155"/>
      <name val="Calibri"/>
    </font>
    <font>
      <color rgb="FFFFFFFF"/>
      <name val="Arial"/>
      <scheme val="minor"/>
    </font>
    <font>
      <b/>
      <sz val="11.0"/>
      <color rgb="FF92400E"/>
      <name val="Calibri"/>
    </font>
    <font>
      <b/>
      <color rgb="FF111827"/>
      <name val="Calibri"/>
    </font>
    <font>
      <i/>
      <color rgb="FF334155"/>
      <name val="Calibri"/>
    </font>
    <font>
      <b/>
      <sz val="12.0"/>
      <color rgb="FF111827"/>
      <name val="Calibri"/>
    </font>
    <font>
      <b/>
      <sz val="13.0"/>
      <color rgb="FF111827"/>
      <name val="Calibri"/>
    </font>
    <font>
      <color rgb="FF334155"/>
      <name val="Calibri"/>
    </font>
    <font>
      <b/>
      <sz val="13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0B1220"/>
        <bgColor rgb="FF0B1220"/>
      </patternFill>
    </fill>
    <fill>
      <patternFill patternType="solid">
        <fgColor rgb="FFEEF2FF"/>
        <bgColor rgb="FFEEF2FF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FBBF24"/>
        <bgColor rgb="FFFBBF24"/>
      </patternFill>
    </fill>
  </fills>
  <borders count="2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CBD5E1"/>
      </left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</border>
    <border>
      <right style="thin">
        <color rgb="FF1F2937"/>
      </right>
      <top style="thin">
        <color rgb="FF1F2937"/>
      </top>
      <bottom style="thin">
        <color rgb="FF1F2937"/>
      </bottom>
    </border>
    <border>
      <left style="thin">
        <color rgb="FF1F2937"/>
      </left>
      <right style="thin">
        <color rgb="FF1F2937"/>
      </right>
      <bottom style="thin">
        <color rgb="FF1F2937"/>
      </bottom>
    </border>
    <border>
      <right style="thin">
        <color rgb="FF1F2937"/>
      </right>
      <bottom style="thin">
        <color rgb="FF1F2937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</border>
    <border>
      <bottom style="thin">
        <color rgb="FFCBD5E1"/>
      </bottom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right" readingOrder="0"/>
    </xf>
    <xf borderId="1" fillId="0" fontId="6" numFmtId="0" xfId="0" applyBorder="1" applyFont="1"/>
    <xf borderId="2" fillId="0" fontId="6" numFmtId="0" xfId="0" applyAlignment="1" applyBorder="1" applyFont="1">
      <alignment readingOrder="0"/>
    </xf>
    <xf borderId="3" fillId="0" fontId="7" numFmtId="0" xfId="0" applyBorder="1" applyFont="1"/>
    <xf borderId="1" fillId="0" fontId="6" numFmtId="0" xfId="0" applyBorder="1" applyFont="1"/>
    <xf borderId="4" fillId="0" fontId="7" numFmtId="0" xfId="0" applyBorder="1" applyFont="1"/>
    <xf borderId="2" fillId="0" fontId="8" numFmtId="0" xfId="0" applyAlignment="1" applyBorder="1" applyFont="1">
      <alignment vertical="bottom"/>
    </xf>
    <xf borderId="0" fillId="3" fontId="9" numFmtId="0" xfId="0" applyAlignment="1" applyFill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2" fontId="11" numFmtId="0" xfId="0" applyAlignment="1" applyFont="1">
      <alignment horizontal="left" readingOrder="0"/>
    </xf>
    <xf borderId="5" fillId="4" fontId="12" numFmtId="0" xfId="0" applyAlignment="1" applyBorder="1" applyFill="1" applyFont="1">
      <alignment horizontal="left" readingOrder="0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0" fillId="2" fontId="11" numFmtId="0" xfId="0" applyAlignment="1" applyFont="1">
      <alignment readingOrder="0" shrinkToFit="0" vertical="bottom" wrapText="0"/>
    </xf>
    <xf borderId="11" fillId="4" fontId="2" numFmtId="0" xfId="0" applyAlignment="1" applyBorder="1" applyFont="1">
      <alignment horizontal="left"/>
    </xf>
    <xf borderId="0" fillId="5" fontId="13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0" fillId="2" fontId="14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5" fontId="1" numFmtId="0" xfId="0" applyAlignment="1" applyFont="1">
      <alignment vertical="bottom"/>
    </xf>
    <xf borderId="12" fillId="3" fontId="11" numFmtId="0" xfId="0" applyAlignment="1" applyBorder="1" applyFont="1">
      <alignment horizontal="center" vertical="bottom"/>
    </xf>
    <xf borderId="13" fillId="3" fontId="11" numFmtId="0" xfId="0" applyAlignment="1" applyBorder="1" applyFont="1">
      <alignment horizontal="center" vertical="bottom"/>
    </xf>
    <xf borderId="13" fillId="3" fontId="11" numFmtId="0" xfId="0" applyAlignment="1" applyBorder="1" applyFont="1">
      <alignment horizontal="center" vertical="bottom"/>
    </xf>
    <xf borderId="12" fillId="6" fontId="3" numFmtId="0" xfId="0" applyAlignment="1" applyBorder="1" applyFill="1" applyFont="1">
      <alignment horizontal="right" vertical="bottom"/>
    </xf>
    <xf borderId="13" fillId="6" fontId="3" numFmtId="0" xfId="0" applyAlignment="1" applyBorder="1" applyFont="1">
      <alignment horizontal="center" vertical="bottom"/>
    </xf>
    <xf borderId="14" fillId="4" fontId="15" numFmtId="0" xfId="0" applyAlignment="1" applyBorder="1" applyFont="1">
      <alignment vertical="bottom"/>
    </xf>
    <xf borderId="15" fillId="4" fontId="16" numFmtId="0" xfId="0" applyAlignment="1" applyBorder="1" applyFont="1">
      <alignment horizontal="center" vertical="bottom"/>
    </xf>
    <xf borderId="15" fillId="4" fontId="16" numFmtId="0" xfId="0" applyAlignment="1" applyBorder="1" applyFont="1">
      <alignment vertical="bottom"/>
    </xf>
    <xf borderId="15" fillId="4" fontId="16" numFmtId="0" xfId="0" applyAlignment="1" applyBorder="1" applyFont="1">
      <alignment horizontal="center" readingOrder="0" vertical="bottom"/>
    </xf>
    <xf borderId="14" fillId="6" fontId="4" numFmtId="0" xfId="0" applyAlignment="1" applyBorder="1" applyFont="1">
      <alignment horizontal="right" vertical="bottom"/>
    </xf>
    <xf borderId="15" fillId="6" fontId="4" numFmtId="0" xfId="0" applyAlignment="1" applyBorder="1" applyFont="1">
      <alignment vertical="bottom"/>
    </xf>
    <xf borderId="12" fillId="4" fontId="3" numFmtId="0" xfId="0" applyAlignment="1" applyBorder="1" applyFont="1">
      <alignment vertical="bottom"/>
    </xf>
    <xf borderId="13" fillId="4" fontId="4" numFmtId="0" xfId="0" applyAlignment="1" applyBorder="1" applyFont="1">
      <alignment readingOrder="0" vertical="bottom"/>
    </xf>
    <xf borderId="13" fillId="4" fontId="17" numFmtId="0" xfId="0" applyAlignment="1" applyBorder="1" applyFont="1">
      <alignment readingOrder="0" vertical="bottom"/>
    </xf>
    <xf borderId="14" fillId="4" fontId="3" numFmtId="0" xfId="0" applyAlignment="1" applyBorder="1" applyFont="1">
      <alignment readingOrder="0" vertical="bottom"/>
    </xf>
    <xf borderId="0" fillId="0" fontId="6" numFmtId="0" xfId="0" applyFont="1"/>
    <xf borderId="12" fillId="4" fontId="3" numFmtId="0" xfId="0" applyAlignment="1" applyBorder="1" applyFont="1">
      <alignment readingOrder="0" vertical="bottom"/>
    </xf>
    <xf borderId="0" fillId="5" fontId="1" numFmtId="0" xfId="0" applyAlignment="1" applyFont="1">
      <alignment vertical="bottom"/>
    </xf>
    <xf borderId="12" fillId="7" fontId="3" numFmtId="0" xfId="0" applyAlignment="1" applyBorder="1" applyFill="1" applyFont="1">
      <alignment horizontal="center" vertical="bottom"/>
    </xf>
    <xf borderId="13" fillId="7" fontId="3" numFmtId="0" xfId="0" applyAlignment="1" applyBorder="1" applyFont="1">
      <alignment horizontal="center" vertical="bottom"/>
    </xf>
    <xf borderId="14" fillId="4" fontId="3" numFmtId="0" xfId="0" applyAlignment="1" applyBorder="1" applyFont="1">
      <alignment vertical="bottom"/>
    </xf>
    <xf borderId="15" fillId="4" fontId="4" numFmtId="0" xfId="0" applyAlignment="1" applyBorder="1" applyFont="1">
      <alignment vertical="bottom"/>
    </xf>
    <xf borderId="14" fillId="4" fontId="8" numFmtId="0" xfId="0" applyAlignment="1" applyBorder="1" applyFont="1">
      <alignment vertical="bottom"/>
    </xf>
    <xf borderId="0" fillId="0" fontId="18" numFmtId="0" xfId="0" applyAlignment="1" applyFont="1">
      <alignment readingOrder="0"/>
    </xf>
    <xf borderId="0" fillId="0" fontId="18" numFmtId="0" xfId="0" applyFont="1"/>
    <xf borderId="0" fillId="8" fontId="19" numFmtId="0" xfId="0" applyAlignment="1" applyFill="1" applyFont="1">
      <alignment readingOrder="0" vertical="bottom"/>
    </xf>
    <xf borderId="11" fillId="6" fontId="20" numFmtId="0" xfId="0" applyAlignment="1" applyBorder="1" applyFont="1">
      <alignment horizontal="left" readingOrder="0"/>
    </xf>
    <xf borderId="16" fillId="4" fontId="12" numFmtId="0" xfId="0" applyAlignment="1" applyBorder="1" applyFont="1">
      <alignment horizontal="left"/>
    </xf>
    <xf borderId="5" fillId="4" fontId="21" numFmtId="0" xfId="0" applyAlignment="1" applyBorder="1" applyFont="1">
      <alignment horizontal="left" readingOrder="0"/>
    </xf>
    <xf borderId="17" fillId="0" fontId="7" numFmtId="0" xfId="0" applyBorder="1" applyFont="1"/>
    <xf borderId="18" fillId="0" fontId="7" numFmtId="0" xfId="0" applyBorder="1" applyFont="1"/>
    <xf borderId="11" fillId="6" fontId="20" numFmtId="0" xfId="0" applyAlignment="1" applyBorder="1" applyFont="1">
      <alignment horizontal="center" readingOrder="0"/>
    </xf>
    <xf borderId="16" fillId="6" fontId="20" numFmtId="0" xfId="0" applyAlignment="1" applyBorder="1" applyFont="1">
      <alignment horizontal="center" readingOrder="0"/>
    </xf>
    <xf borderId="19" fillId="4" fontId="12" numFmtId="0" xfId="0" applyAlignment="1" applyBorder="1" applyFont="1">
      <alignment horizontal="left" readingOrder="0"/>
    </xf>
    <xf borderId="10" fillId="4" fontId="12" numFmtId="0" xfId="0" applyAlignment="1" applyBorder="1" applyFont="1">
      <alignment horizontal="center" readingOrder="0"/>
    </xf>
    <xf borderId="10" fillId="4" fontId="22" numFmtId="0" xfId="0" applyAlignment="1" applyBorder="1" applyFont="1">
      <alignment horizontal="center" readingOrder="0"/>
    </xf>
    <xf borderId="20" fillId="6" fontId="20" numFmtId="0" xfId="0" applyAlignment="1" applyBorder="1" applyFont="1">
      <alignment horizontal="left" readingOrder="0"/>
    </xf>
    <xf borderId="21" fillId="0" fontId="7" numFmtId="0" xfId="0" applyBorder="1" applyFont="1"/>
    <xf borderId="16" fillId="0" fontId="7" numFmtId="0" xfId="0" applyBorder="1" applyFont="1"/>
    <xf borderId="11" fillId="9" fontId="23" numFmtId="0" xfId="0" applyAlignment="1" applyBorder="1" applyFill="1" applyFont="1">
      <alignment horizontal="center" readingOrder="0"/>
    </xf>
    <xf borderId="20" fillId="4" fontId="22" numFmtId="0" xfId="0" applyAlignment="1" applyBorder="1" applyFont="1">
      <alignment horizontal="left" readingOrder="0"/>
    </xf>
    <xf borderId="5" fillId="4" fontId="24" numFmtId="0" xfId="0" applyAlignment="1" applyBorder="1" applyFont="1">
      <alignment horizontal="left"/>
    </xf>
    <xf borderId="11" fillId="0" fontId="12" numFmtId="0" xfId="0" applyAlignment="1" applyBorder="1" applyFont="1">
      <alignment horizontal="center" readingOrder="0"/>
    </xf>
    <xf borderId="16" fillId="0" fontId="12" numFmtId="0" xfId="0" applyAlignment="1" applyBorder="1" applyFont="1">
      <alignment horizontal="center" readingOrder="0"/>
    </xf>
    <xf borderId="20" fillId="2" fontId="11" numFmtId="0" xfId="0" applyAlignment="1" applyBorder="1" applyFont="1">
      <alignment horizontal="left" readingOrder="0"/>
    </xf>
    <xf borderId="19" fillId="6" fontId="20" numFmtId="0" xfId="0" applyAlignment="1" applyBorder="1" applyFont="1">
      <alignment horizontal="left" readingOrder="0"/>
    </xf>
    <xf borderId="10" fillId="6" fontId="20" numFmtId="0" xfId="0" applyAlignment="1" applyBorder="1" applyFont="1">
      <alignment horizontal="left" readingOrder="0"/>
    </xf>
    <xf borderId="10" fillId="0" fontId="12" numFmtId="0" xfId="0" applyAlignment="1" applyBorder="1" applyFont="1">
      <alignment horizontal="center" readingOrder="0"/>
    </xf>
    <xf borderId="10" fillId="4" fontId="12" numFmtId="0" xfId="0" applyAlignment="1" applyBorder="1" applyFont="1">
      <alignment horizontal="left" readingOrder="0"/>
    </xf>
    <xf borderId="10" fillId="4" fontId="24" numFmtId="0" xfId="0" applyAlignment="1" applyBorder="1" applyFont="1">
      <alignment horizontal="left" readingOrder="0"/>
    </xf>
    <xf borderId="16" fillId="2" fontId="11" numFmtId="0" xfId="0" applyAlignment="1" applyBorder="1" applyFont="1">
      <alignment horizontal="center" readingOrder="0"/>
    </xf>
    <xf borderId="19" fillId="0" fontId="12" numFmtId="0" xfId="0" applyAlignment="1" applyBorder="1" applyFont="1">
      <alignment horizontal="center" readingOrder="0"/>
    </xf>
    <xf borderId="18" fillId="2" fontId="11" numFmtId="0" xfId="0" applyAlignment="1" applyBorder="1" applyFont="1">
      <alignment horizontal="left" readingOrder="0"/>
    </xf>
    <xf borderId="19" fillId="6" fontId="20" numFmtId="0" xfId="0" applyAlignment="1" applyBorder="1" applyFont="1">
      <alignment horizontal="center" readingOrder="0"/>
    </xf>
    <xf borderId="10" fillId="6" fontId="20" numFmtId="0" xfId="0" applyAlignment="1" applyBorder="1" applyFont="1">
      <alignment horizontal="center" readingOrder="0"/>
    </xf>
    <xf borderId="19" fillId="4" fontId="25" numFmtId="0" xfId="0" applyAlignment="1" applyBorder="1" applyFont="1">
      <alignment horizontal="center" readingOrder="0"/>
    </xf>
    <xf borderId="10" fillId="4" fontId="2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2"/>
      <c r="C2" s="2"/>
    </row>
    <row r="3">
      <c r="A3" s="2"/>
      <c r="B3" s="2"/>
      <c r="C3" s="2"/>
    </row>
    <row r="4">
      <c r="A4" s="3" t="s">
        <v>1</v>
      </c>
      <c r="B4" s="2"/>
      <c r="C4" s="2"/>
    </row>
    <row r="5">
      <c r="A5" s="4" t="s">
        <v>2</v>
      </c>
      <c r="B5" s="2"/>
      <c r="C5" s="2"/>
    </row>
    <row r="6">
      <c r="A6" s="4" t="s">
        <v>3</v>
      </c>
      <c r="B6" s="2"/>
      <c r="C6" s="2"/>
    </row>
    <row r="7">
      <c r="A7" s="4" t="s">
        <v>4</v>
      </c>
      <c r="B7" s="2"/>
      <c r="C7" s="2"/>
    </row>
    <row r="8">
      <c r="A8" s="4" t="s">
        <v>5</v>
      </c>
      <c r="B8" s="2"/>
      <c r="C8" s="2"/>
    </row>
    <row r="9">
      <c r="A9" s="2"/>
      <c r="B9" s="5" t="s">
        <v>6</v>
      </c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3" t="s">
        <v>7</v>
      </c>
      <c r="B12" s="2"/>
      <c r="C12" s="2"/>
    </row>
    <row r="13">
      <c r="A13" s="4" t="s">
        <v>8</v>
      </c>
      <c r="B13" s="2"/>
      <c r="C13" s="2"/>
    </row>
    <row r="14">
      <c r="A14" s="4" t="s">
        <v>9</v>
      </c>
      <c r="B14" s="2"/>
      <c r="C14" s="2"/>
    </row>
    <row r="15">
      <c r="A15" s="4" t="s">
        <v>10</v>
      </c>
      <c r="B15" s="2"/>
      <c r="C15" s="2"/>
    </row>
    <row r="16">
      <c r="A16" s="4" t="s">
        <v>11</v>
      </c>
      <c r="B16" s="2"/>
      <c r="C16" s="2"/>
    </row>
    <row r="17">
      <c r="A17" s="2"/>
      <c r="B17" s="5" t="s">
        <v>6</v>
      </c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3" t="s">
        <v>12</v>
      </c>
      <c r="B20" s="2"/>
      <c r="C20" s="2"/>
    </row>
    <row r="21">
      <c r="A21" s="4" t="s">
        <v>13</v>
      </c>
      <c r="B21" s="2"/>
      <c r="C21" s="2"/>
    </row>
    <row r="22">
      <c r="A22" s="4" t="s">
        <v>14</v>
      </c>
      <c r="B22" s="2"/>
      <c r="C22" s="2"/>
    </row>
    <row r="23">
      <c r="A23" s="4" t="s">
        <v>15</v>
      </c>
      <c r="B23" s="2"/>
      <c r="C23" s="2"/>
    </row>
    <row r="24">
      <c r="A24" s="4" t="s">
        <v>16</v>
      </c>
      <c r="B24" s="2"/>
      <c r="C24" s="2"/>
    </row>
    <row r="25">
      <c r="A25" s="2"/>
      <c r="B25" s="5" t="s">
        <v>6</v>
      </c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3" t="s">
        <v>17</v>
      </c>
      <c r="B28" s="2"/>
      <c r="C28" s="2"/>
    </row>
    <row r="29">
      <c r="A29" s="4" t="s">
        <v>18</v>
      </c>
      <c r="B29" s="2"/>
      <c r="C29" s="2"/>
    </row>
    <row r="30">
      <c r="A30" s="4" t="s">
        <v>19</v>
      </c>
      <c r="B30" s="2"/>
      <c r="C30" s="2"/>
    </row>
    <row r="31">
      <c r="A31" s="6" t="s">
        <v>20</v>
      </c>
      <c r="B31" s="2"/>
      <c r="C31" s="2"/>
    </row>
    <row r="32">
      <c r="A32" s="4" t="s">
        <v>21</v>
      </c>
      <c r="B32" s="2"/>
      <c r="C32" s="2"/>
    </row>
    <row r="33">
      <c r="A33" s="2"/>
      <c r="B33" s="5" t="s">
        <v>6</v>
      </c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3" t="s">
        <v>22</v>
      </c>
      <c r="B36" s="2"/>
      <c r="C36" s="2"/>
    </row>
    <row r="37">
      <c r="A37" s="4" t="s">
        <v>23</v>
      </c>
      <c r="B37" s="2"/>
      <c r="C37" s="2"/>
    </row>
    <row r="38">
      <c r="A38" s="4" t="s">
        <v>24</v>
      </c>
      <c r="B38" s="2"/>
      <c r="C38" s="2"/>
    </row>
    <row r="39">
      <c r="A39" s="4" t="s">
        <v>25</v>
      </c>
      <c r="B39" s="2"/>
      <c r="C39" s="2"/>
    </row>
    <row r="40">
      <c r="A40" s="4" t="s">
        <v>26</v>
      </c>
      <c r="B40" s="2"/>
      <c r="C40" s="2"/>
    </row>
    <row r="41">
      <c r="A41" s="2"/>
      <c r="B41" s="5" t="s">
        <v>6</v>
      </c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3" t="s">
        <v>27</v>
      </c>
      <c r="B44" s="2"/>
      <c r="C44" s="2"/>
    </row>
    <row r="45">
      <c r="A45" s="4" t="s">
        <v>28</v>
      </c>
      <c r="B45" s="2"/>
      <c r="C45" s="2"/>
    </row>
    <row r="46">
      <c r="A46" s="4" t="s">
        <v>29</v>
      </c>
      <c r="B46" s="2"/>
      <c r="C46" s="2"/>
    </row>
    <row r="47">
      <c r="A47" s="4" t="s">
        <v>30</v>
      </c>
      <c r="B47" s="2"/>
      <c r="C47" s="2"/>
    </row>
    <row r="48">
      <c r="A48" s="4" t="s">
        <v>31</v>
      </c>
      <c r="B48" s="2"/>
      <c r="C48" s="2"/>
    </row>
    <row r="49">
      <c r="A49" s="2"/>
      <c r="B49" s="5" t="s">
        <v>6</v>
      </c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3" t="s">
        <v>32</v>
      </c>
      <c r="B52" s="2"/>
      <c r="C52" s="2"/>
    </row>
    <row r="53">
      <c r="A53" s="4" t="s">
        <v>33</v>
      </c>
      <c r="B53" s="2"/>
      <c r="C53" s="2"/>
    </row>
    <row r="54">
      <c r="A54" s="4" t="s">
        <v>34</v>
      </c>
      <c r="B54" s="2"/>
      <c r="C54" s="2"/>
    </row>
    <row r="55">
      <c r="A55" s="4" t="s">
        <v>35</v>
      </c>
      <c r="B55" s="2"/>
      <c r="C55" s="2"/>
    </row>
    <row r="56">
      <c r="A56" s="4" t="s">
        <v>36</v>
      </c>
      <c r="B56" s="2"/>
      <c r="C56" s="2"/>
    </row>
    <row r="57">
      <c r="A57" s="2"/>
      <c r="B57" s="5" t="s">
        <v>6</v>
      </c>
      <c r="C57" s="2"/>
    </row>
  </sheetData>
  <mergeCells count="1">
    <mergeCell ref="A1:C1"/>
  </mergeCells>
  <dataValidations>
    <dataValidation type="list" allowBlank="1" showErrorMessage="1" sqref="C9 C17 C25 C33 C41 C49 C57">
      <formula1>"A,B,C,D"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</row>
    <row r="2">
      <c r="A2" s="2"/>
      <c r="B2" s="2"/>
      <c r="C2" s="2"/>
    </row>
    <row r="3">
      <c r="A3" s="2"/>
      <c r="B3" s="2"/>
      <c r="C3" s="2"/>
    </row>
    <row r="4">
      <c r="A4" s="3" t="s">
        <v>38</v>
      </c>
      <c r="B4" s="2"/>
      <c r="C4" s="2"/>
    </row>
    <row r="5">
      <c r="A5" s="4" t="s">
        <v>39</v>
      </c>
      <c r="B5" s="2"/>
      <c r="C5" s="2"/>
    </row>
    <row r="6">
      <c r="A6" s="4" t="s">
        <v>40</v>
      </c>
      <c r="B6" s="2"/>
      <c r="C6" s="2"/>
    </row>
    <row r="7">
      <c r="A7" s="4" t="s">
        <v>41</v>
      </c>
      <c r="B7" s="2"/>
      <c r="C7" s="2"/>
    </row>
    <row r="8">
      <c r="A8" s="4" t="s">
        <v>42</v>
      </c>
      <c r="B8" s="2"/>
      <c r="C8" s="2"/>
    </row>
    <row r="9">
      <c r="A9" s="2"/>
      <c r="B9" s="5" t="s">
        <v>6</v>
      </c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3" t="s">
        <v>43</v>
      </c>
      <c r="B12" s="2"/>
      <c r="C12" s="2"/>
    </row>
    <row r="13">
      <c r="A13" s="4" t="s">
        <v>44</v>
      </c>
      <c r="B13" s="2"/>
      <c r="C13" s="2"/>
    </row>
    <row r="14">
      <c r="A14" s="4" t="s">
        <v>45</v>
      </c>
      <c r="B14" s="2"/>
      <c r="C14" s="2"/>
    </row>
    <row r="15">
      <c r="A15" s="4" t="s">
        <v>46</v>
      </c>
      <c r="B15" s="2"/>
      <c r="C15" s="2"/>
    </row>
    <row r="16">
      <c r="A16" s="4" t="s">
        <v>47</v>
      </c>
      <c r="B16" s="2"/>
      <c r="C16" s="2"/>
    </row>
    <row r="17">
      <c r="A17" s="2"/>
      <c r="B17" s="5" t="s">
        <v>6</v>
      </c>
      <c r="C17" s="7" t="s">
        <v>48</v>
      </c>
    </row>
    <row r="18">
      <c r="A18" s="2"/>
      <c r="B18" s="2"/>
      <c r="C18" s="2"/>
    </row>
    <row r="19">
      <c r="A19" s="2"/>
      <c r="B19" s="2"/>
      <c r="C19" s="2"/>
    </row>
    <row r="20">
      <c r="A20" s="3" t="s">
        <v>49</v>
      </c>
      <c r="B20" s="2"/>
      <c r="C20" s="2"/>
    </row>
    <row r="21">
      <c r="A21" s="4" t="s">
        <v>50</v>
      </c>
      <c r="B21" s="2"/>
      <c r="C21" s="2"/>
    </row>
    <row r="22">
      <c r="A22" s="4" t="s">
        <v>51</v>
      </c>
      <c r="B22" s="2"/>
      <c r="C22" s="2"/>
    </row>
    <row r="23">
      <c r="A23" s="4" t="s">
        <v>52</v>
      </c>
      <c r="B23" s="2"/>
      <c r="C23" s="2"/>
    </row>
    <row r="24">
      <c r="A24" s="4" t="s">
        <v>53</v>
      </c>
      <c r="B24" s="2"/>
      <c r="C24" s="2"/>
    </row>
    <row r="25">
      <c r="A25" s="2"/>
      <c r="B25" s="5" t="s">
        <v>6</v>
      </c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3" t="s">
        <v>54</v>
      </c>
      <c r="B28" s="2"/>
      <c r="C28" s="2"/>
    </row>
    <row r="29">
      <c r="A29" s="4" t="s">
        <v>55</v>
      </c>
      <c r="B29" s="2"/>
      <c r="C29" s="2"/>
    </row>
    <row r="30">
      <c r="A30" s="4" t="s">
        <v>56</v>
      </c>
      <c r="B30" s="2"/>
      <c r="C30" s="2"/>
      <c r="D30" s="8" t="s">
        <v>57</v>
      </c>
    </row>
    <row r="31">
      <c r="A31" s="4" t="s">
        <v>58</v>
      </c>
      <c r="B31" s="2"/>
      <c r="C31" s="2"/>
    </row>
    <row r="32">
      <c r="A32" s="4" t="s">
        <v>59</v>
      </c>
      <c r="B32" s="2"/>
      <c r="C32" s="2"/>
    </row>
    <row r="33">
      <c r="A33" s="2"/>
      <c r="B33" s="5" t="s">
        <v>6</v>
      </c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3" t="s">
        <v>60</v>
      </c>
      <c r="B36" s="2"/>
      <c r="C36" s="2"/>
    </row>
    <row r="37">
      <c r="A37" s="4" t="s">
        <v>61</v>
      </c>
      <c r="B37" s="2"/>
      <c r="C37" s="2"/>
    </row>
    <row r="38">
      <c r="A38" s="4" t="s">
        <v>62</v>
      </c>
      <c r="B38" s="2"/>
      <c r="C38" s="2"/>
    </row>
    <row r="39">
      <c r="A39" s="4" t="s">
        <v>63</v>
      </c>
      <c r="B39" s="2"/>
      <c r="C39" s="2"/>
    </row>
    <row r="40">
      <c r="A40" s="4" t="s">
        <v>64</v>
      </c>
      <c r="B40" s="2"/>
      <c r="C40" s="2"/>
    </row>
    <row r="41">
      <c r="A41" s="2"/>
      <c r="B41" s="5" t="s">
        <v>6</v>
      </c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3" t="s">
        <v>65</v>
      </c>
      <c r="B44" s="2"/>
      <c r="C44" s="2"/>
    </row>
    <row r="45">
      <c r="A45" s="4" t="s">
        <v>66</v>
      </c>
      <c r="B45" s="2"/>
      <c r="C45" s="2"/>
    </row>
    <row r="46">
      <c r="A46" s="4" t="s">
        <v>67</v>
      </c>
      <c r="B46" s="2"/>
      <c r="C46" s="2"/>
    </row>
    <row r="47">
      <c r="A47" s="4" t="s">
        <v>68</v>
      </c>
      <c r="B47" s="2"/>
      <c r="C47" s="2"/>
    </row>
    <row r="48">
      <c r="A48" s="4" t="s">
        <v>69</v>
      </c>
      <c r="B48" s="2"/>
      <c r="C48" s="2"/>
    </row>
    <row r="49">
      <c r="A49" s="2"/>
      <c r="B49" s="5" t="s">
        <v>6</v>
      </c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3" t="s">
        <v>70</v>
      </c>
      <c r="B52" s="2"/>
      <c r="C52" s="2"/>
    </row>
    <row r="53">
      <c r="A53" s="4" t="s">
        <v>71</v>
      </c>
      <c r="B53" s="2"/>
      <c r="C53" s="2"/>
    </row>
    <row r="54">
      <c r="A54" s="4" t="s">
        <v>72</v>
      </c>
      <c r="B54" s="2"/>
      <c r="C54" s="2"/>
    </row>
    <row r="55">
      <c r="A55" s="4" t="s">
        <v>73</v>
      </c>
      <c r="B55" s="2"/>
      <c r="C55" s="2"/>
    </row>
    <row r="56">
      <c r="A56" s="4" t="s">
        <v>74</v>
      </c>
      <c r="B56" s="2"/>
      <c r="C56" s="2"/>
    </row>
    <row r="57">
      <c r="A57" s="2"/>
      <c r="B57" s="5" t="s">
        <v>6</v>
      </c>
      <c r="C57" s="2"/>
    </row>
  </sheetData>
  <mergeCells count="1">
    <mergeCell ref="A1:C1"/>
  </mergeCells>
  <dataValidations>
    <dataValidation type="list" allowBlank="1" showErrorMessage="1" sqref="C9 C17 C25 C33 C41 C49 C57">
      <formula1>"A,B,C,D"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75</v>
      </c>
      <c r="B1" s="9" t="s">
        <v>76</v>
      </c>
      <c r="C1" s="9" t="s">
        <v>77</v>
      </c>
      <c r="D1" s="9" t="s">
        <v>78</v>
      </c>
      <c r="E1" s="9" t="s">
        <v>79</v>
      </c>
    </row>
    <row r="2">
      <c r="A2" s="9" t="s">
        <v>80</v>
      </c>
      <c r="B2" s="10">
        <v>1.0</v>
      </c>
      <c r="C2" s="9" t="s">
        <v>48</v>
      </c>
      <c r="D2" s="9" t="s">
        <v>81</v>
      </c>
      <c r="E2" s="11"/>
    </row>
    <row r="3">
      <c r="A3" s="9" t="s">
        <v>80</v>
      </c>
      <c r="B3" s="10">
        <v>2.0</v>
      </c>
      <c r="C3" s="9" t="s">
        <v>82</v>
      </c>
      <c r="D3" s="12" t="s">
        <v>83</v>
      </c>
      <c r="E3" s="13"/>
      <c r="F3" s="9"/>
    </row>
    <row r="4">
      <c r="A4" s="9" t="s">
        <v>80</v>
      </c>
      <c r="B4" s="10">
        <v>3.0</v>
      </c>
      <c r="C4" s="9" t="s">
        <v>82</v>
      </c>
      <c r="D4" s="9" t="s">
        <v>84</v>
      </c>
      <c r="E4" s="9"/>
    </row>
    <row r="5">
      <c r="A5" s="9" t="s">
        <v>80</v>
      </c>
      <c r="B5" s="10">
        <v>4.0</v>
      </c>
      <c r="C5" s="9" t="s">
        <v>85</v>
      </c>
      <c r="D5" s="12" t="s">
        <v>86</v>
      </c>
      <c r="E5" s="13"/>
    </row>
    <row r="6">
      <c r="A6" s="9" t="s">
        <v>80</v>
      </c>
      <c r="B6" s="10">
        <v>5.0</v>
      </c>
      <c r="C6" s="9" t="s">
        <v>87</v>
      </c>
      <c r="D6" s="12" t="s">
        <v>88</v>
      </c>
      <c r="E6" s="12" t="s">
        <v>89</v>
      </c>
      <c r="F6" s="13"/>
    </row>
    <row r="7">
      <c r="A7" s="9" t="s">
        <v>80</v>
      </c>
      <c r="B7" s="10">
        <v>6.0</v>
      </c>
      <c r="C7" s="9" t="s">
        <v>87</v>
      </c>
      <c r="D7" s="12" t="s">
        <v>89</v>
      </c>
      <c r="E7" s="13"/>
    </row>
    <row r="8">
      <c r="A8" s="9" t="s">
        <v>80</v>
      </c>
      <c r="B8" s="10">
        <v>7.0</v>
      </c>
      <c r="C8" s="9" t="s">
        <v>82</v>
      </c>
      <c r="D8" s="12" t="s">
        <v>90</v>
      </c>
      <c r="E8" s="13"/>
    </row>
    <row r="9">
      <c r="A9" s="9"/>
      <c r="B9" s="10"/>
      <c r="C9" s="9"/>
      <c r="D9" s="9"/>
      <c r="E9" s="9"/>
    </row>
    <row r="10">
      <c r="A10" s="9"/>
      <c r="B10" s="10"/>
      <c r="C10" s="9"/>
      <c r="D10" s="12"/>
      <c r="E10" s="13"/>
    </row>
    <row r="11">
      <c r="A11" s="9"/>
      <c r="B11" s="10"/>
      <c r="C11" s="9"/>
      <c r="D11" s="12"/>
      <c r="E11" s="13"/>
    </row>
    <row r="12">
      <c r="A12" s="9" t="s">
        <v>91</v>
      </c>
      <c r="B12" s="10">
        <v>1.0</v>
      </c>
      <c r="C12" s="9" t="s">
        <v>87</v>
      </c>
    </row>
    <row r="13">
      <c r="A13" s="9" t="s">
        <v>91</v>
      </c>
      <c r="B13" s="10">
        <v>2.0</v>
      </c>
      <c r="C13" s="9" t="s">
        <v>48</v>
      </c>
      <c r="D13" s="9" t="s">
        <v>90</v>
      </c>
      <c r="E13" s="12" t="s">
        <v>83</v>
      </c>
      <c r="F13" s="13"/>
    </row>
    <row r="14">
      <c r="A14" s="9" t="s">
        <v>91</v>
      </c>
      <c r="B14" s="10">
        <v>3.0</v>
      </c>
      <c r="C14" s="9" t="s">
        <v>87</v>
      </c>
      <c r="D14" s="9" t="s">
        <v>90</v>
      </c>
      <c r="E14" s="9"/>
    </row>
    <row r="15">
      <c r="A15" s="9" t="s">
        <v>91</v>
      </c>
      <c r="B15" s="10">
        <v>4.0</v>
      </c>
      <c r="C15" s="9" t="s">
        <v>85</v>
      </c>
      <c r="D15" s="12" t="s">
        <v>84</v>
      </c>
      <c r="E15" s="13"/>
    </row>
    <row r="16">
      <c r="A16" s="9" t="s">
        <v>91</v>
      </c>
      <c r="B16" s="10">
        <v>5.0</v>
      </c>
      <c r="C16" s="9" t="s">
        <v>82</v>
      </c>
      <c r="D16" s="12" t="s">
        <v>81</v>
      </c>
      <c r="E16" s="13"/>
    </row>
    <row r="17">
      <c r="A17" s="9" t="s">
        <v>91</v>
      </c>
      <c r="B17" s="10">
        <v>6.0</v>
      </c>
      <c r="C17" s="9" t="s">
        <v>82</v>
      </c>
      <c r="D17" s="12" t="s">
        <v>89</v>
      </c>
      <c r="E17" s="13"/>
    </row>
    <row r="18">
      <c r="A18" s="9" t="s">
        <v>91</v>
      </c>
      <c r="B18" s="10">
        <v>7.0</v>
      </c>
      <c r="C18" s="9" t="s">
        <v>82</v>
      </c>
      <c r="D18" s="12" t="s">
        <v>83</v>
      </c>
      <c r="E18" s="13"/>
    </row>
    <row r="19">
      <c r="A19" s="9"/>
      <c r="B19" s="10"/>
      <c r="C19" s="9"/>
      <c r="D19" s="9"/>
      <c r="E19" s="11"/>
    </row>
    <row r="20">
      <c r="A20" s="9"/>
      <c r="B20" s="10"/>
      <c r="C20" s="9"/>
      <c r="D20" s="12"/>
      <c r="E20" s="13"/>
    </row>
    <row r="21">
      <c r="A21" s="9"/>
      <c r="B21" s="10"/>
      <c r="C21" s="9"/>
      <c r="D21" s="12"/>
      <c r="E21" s="13"/>
    </row>
    <row r="22">
      <c r="A22" s="9"/>
      <c r="B22" s="9"/>
      <c r="C22" s="9"/>
      <c r="D22" s="9"/>
      <c r="E22" s="9"/>
    </row>
    <row r="23">
      <c r="A23" s="9" t="s">
        <v>92</v>
      </c>
      <c r="B23" s="10">
        <v>1.0</v>
      </c>
      <c r="C23" s="9" t="s">
        <v>82</v>
      </c>
      <c r="D23" s="9" t="s">
        <v>90</v>
      </c>
      <c r="E23" s="14"/>
    </row>
    <row r="24">
      <c r="A24" s="9" t="s">
        <v>92</v>
      </c>
      <c r="B24" s="10">
        <v>2.0</v>
      </c>
      <c r="C24" s="9" t="s">
        <v>82</v>
      </c>
      <c r="D24" s="12" t="s">
        <v>93</v>
      </c>
      <c r="E24" s="13"/>
    </row>
    <row r="25">
      <c r="A25" s="9" t="s">
        <v>92</v>
      </c>
      <c r="B25" s="10">
        <v>3.0</v>
      </c>
      <c r="C25" s="9" t="s">
        <v>87</v>
      </c>
      <c r="D25" s="9" t="s">
        <v>83</v>
      </c>
      <c r="E25" s="14"/>
    </row>
    <row r="26">
      <c r="A26" s="9" t="s">
        <v>92</v>
      </c>
      <c r="B26" s="10">
        <v>4.0</v>
      </c>
      <c r="C26" s="9" t="s">
        <v>82</v>
      </c>
      <c r="D26" s="12" t="s">
        <v>81</v>
      </c>
      <c r="E26" s="13"/>
    </row>
    <row r="27">
      <c r="A27" s="9" t="s">
        <v>92</v>
      </c>
      <c r="B27" s="10">
        <v>5.0</v>
      </c>
      <c r="C27" s="9" t="s">
        <v>85</v>
      </c>
      <c r="D27" s="12" t="s">
        <v>88</v>
      </c>
      <c r="E27" s="15"/>
    </row>
    <row r="28">
      <c r="A28" s="9" t="s">
        <v>92</v>
      </c>
      <c r="B28" s="10">
        <v>6.0</v>
      </c>
      <c r="C28" s="9" t="s">
        <v>82</v>
      </c>
      <c r="D28" s="12" t="s">
        <v>89</v>
      </c>
      <c r="E28" s="13"/>
    </row>
    <row r="29">
      <c r="A29" s="9" t="s">
        <v>92</v>
      </c>
      <c r="B29" s="10">
        <v>7.0</v>
      </c>
      <c r="C29" s="9" t="s">
        <v>82</v>
      </c>
      <c r="D29" s="12" t="s">
        <v>83</v>
      </c>
      <c r="E29" s="13"/>
    </row>
    <row r="30">
      <c r="A30" s="9" t="s">
        <v>92</v>
      </c>
      <c r="B30" s="10">
        <v>8.0</v>
      </c>
      <c r="C30" s="9" t="s">
        <v>87</v>
      </c>
      <c r="D30" s="9" t="s">
        <v>94</v>
      </c>
      <c r="E30" s="11"/>
    </row>
    <row r="31">
      <c r="A31" s="9" t="s">
        <v>92</v>
      </c>
      <c r="B31" s="10">
        <v>9.0</v>
      </c>
      <c r="C31" s="9" t="s">
        <v>87</v>
      </c>
      <c r="D31" s="16" t="s">
        <v>86</v>
      </c>
      <c r="E31" s="13"/>
    </row>
    <row r="32">
      <c r="A32" s="9" t="s">
        <v>92</v>
      </c>
      <c r="B32" s="10">
        <v>10.0</v>
      </c>
      <c r="C32" s="9" t="s">
        <v>87</v>
      </c>
      <c r="D32" s="8" t="s">
        <v>81</v>
      </c>
      <c r="E32" s="9" t="s">
        <v>94</v>
      </c>
    </row>
    <row r="33">
      <c r="A33" s="8" t="s">
        <v>92</v>
      </c>
      <c r="B33" s="8">
        <v>11.0</v>
      </c>
      <c r="C33" s="8" t="s">
        <v>87</v>
      </c>
      <c r="D33" s="9" t="s">
        <v>90</v>
      </c>
    </row>
  </sheetData>
  <mergeCells count="20">
    <mergeCell ref="D3:E3"/>
    <mergeCell ref="D5:E5"/>
    <mergeCell ref="E6:F6"/>
    <mergeCell ref="D7:E7"/>
    <mergeCell ref="D8:E8"/>
    <mergeCell ref="D10:E10"/>
    <mergeCell ref="D11:E11"/>
    <mergeCell ref="D24:E24"/>
    <mergeCell ref="D26:E26"/>
    <mergeCell ref="D27:E27"/>
    <mergeCell ref="D28:E28"/>
    <mergeCell ref="D29:E29"/>
    <mergeCell ref="D31:E31"/>
    <mergeCell ref="E13:F13"/>
    <mergeCell ref="D15:E15"/>
    <mergeCell ref="D16:E16"/>
    <mergeCell ref="D17:E17"/>
    <mergeCell ref="D18:E18"/>
    <mergeCell ref="D20:E20"/>
    <mergeCell ref="D21:E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</row>
    <row r="2">
      <c r="A2" s="2"/>
      <c r="B2" s="2"/>
      <c r="C2" s="2"/>
    </row>
    <row r="3">
      <c r="A3" s="2"/>
      <c r="B3" s="2"/>
      <c r="C3" s="2"/>
    </row>
    <row r="4">
      <c r="A4" s="3" t="s">
        <v>96</v>
      </c>
      <c r="B4" s="2"/>
      <c r="C4" s="2"/>
    </row>
    <row r="5">
      <c r="A5" s="4" t="s">
        <v>97</v>
      </c>
      <c r="B5" s="2"/>
      <c r="C5" s="2"/>
    </row>
    <row r="6">
      <c r="A6" s="4" t="s">
        <v>98</v>
      </c>
      <c r="B6" s="2"/>
      <c r="C6" s="2"/>
    </row>
    <row r="7">
      <c r="A7" s="4" t="s">
        <v>99</v>
      </c>
      <c r="B7" s="2"/>
      <c r="C7" s="2"/>
    </row>
    <row r="8">
      <c r="A8" s="4" t="s">
        <v>100</v>
      </c>
      <c r="B8" s="2"/>
      <c r="C8" s="2"/>
    </row>
    <row r="9">
      <c r="A9" s="2"/>
      <c r="B9" s="5" t="s">
        <v>6</v>
      </c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3" t="s">
        <v>101</v>
      </c>
      <c r="B12" s="2"/>
      <c r="C12" s="2"/>
    </row>
    <row r="13">
      <c r="A13" s="4" t="s">
        <v>102</v>
      </c>
      <c r="B13" s="2"/>
      <c r="C13" s="2"/>
    </row>
    <row r="14">
      <c r="A14" s="4" t="s">
        <v>103</v>
      </c>
      <c r="B14" s="2"/>
      <c r="C14" s="2"/>
    </row>
    <row r="15">
      <c r="A15" s="4" t="s">
        <v>104</v>
      </c>
      <c r="B15" s="2"/>
      <c r="C15" s="2"/>
    </row>
    <row r="16">
      <c r="A16" s="4" t="s">
        <v>105</v>
      </c>
      <c r="B16" s="2"/>
      <c r="C16" s="2"/>
    </row>
    <row r="17">
      <c r="A17" s="2"/>
      <c r="B17" s="5" t="s">
        <v>6</v>
      </c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3" t="s">
        <v>106</v>
      </c>
      <c r="B20" s="2"/>
      <c r="C20" s="2"/>
    </row>
    <row r="21">
      <c r="A21" s="4" t="s">
        <v>50</v>
      </c>
      <c r="B21" s="2"/>
      <c r="C21" s="2"/>
    </row>
    <row r="22">
      <c r="A22" s="4" t="s">
        <v>67</v>
      </c>
      <c r="B22" s="2"/>
      <c r="C22" s="2"/>
    </row>
    <row r="23">
      <c r="A23" s="4" t="s">
        <v>68</v>
      </c>
      <c r="B23" s="2"/>
      <c r="C23" s="2"/>
    </row>
    <row r="24">
      <c r="A24" s="4" t="s">
        <v>107</v>
      </c>
      <c r="B24" s="2"/>
      <c r="C24" s="2"/>
    </row>
    <row r="25">
      <c r="A25" s="2"/>
      <c r="B25" s="5" t="s">
        <v>6</v>
      </c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3" t="s">
        <v>108</v>
      </c>
      <c r="B28" s="2"/>
      <c r="C28" s="2"/>
    </row>
    <row r="29">
      <c r="A29" s="4" t="s">
        <v>109</v>
      </c>
      <c r="B29" s="2"/>
      <c r="C29" s="2"/>
    </row>
    <row r="30">
      <c r="A30" s="4" t="s">
        <v>110</v>
      </c>
      <c r="B30" s="2"/>
      <c r="C30" s="2"/>
    </row>
    <row r="31">
      <c r="A31" s="4" t="s">
        <v>111</v>
      </c>
      <c r="B31" s="2"/>
      <c r="C31" s="2"/>
    </row>
    <row r="32">
      <c r="A32" s="4" t="s">
        <v>112</v>
      </c>
      <c r="B32" s="2"/>
      <c r="C32" s="2"/>
    </row>
    <row r="33">
      <c r="A33" s="2"/>
      <c r="B33" s="5" t="s">
        <v>6</v>
      </c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3" t="s">
        <v>113</v>
      </c>
      <c r="B36" s="2"/>
      <c r="C36" s="2"/>
    </row>
    <row r="37">
      <c r="A37" s="4" t="s">
        <v>50</v>
      </c>
      <c r="B37" s="2"/>
      <c r="C37" s="2"/>
    </row>
    <row r="38">
      <c r="A38" s="4" t="s">
        <v>114</v>
      </c>
      <c r="B38" s="2"/>
      <c r="C38" s="2"/>
    </row>
    <row r="39">
      <c r="A39" s="4" t="s">
        <v>115</v>
      </c>
      <c r="B39" s="2"/>
      <c r="C39" s="2"/>
    </row>
    <row r="40">
      <c r="A40" s="4" t="s">
        <v>53</v>
      </c>
      <c r="B40" s="2"/>
      <c r="C40" s="2"/>
    </row>
    <row r="41">
      <c r="A41" s="2"/>
      <c r="B41" s="5" t="s">
        <v>6</v>
      </c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3" t="s">
        <v>116</v>
      </c>
      <c r="B44" s="2"/>
      <c r="C44" s="2"/>
    </row>
    <row r="45">
      <c r="A45" s="4" t="s">
        <v>117</v>
      </c>
      <c r="B45" s="2"/>
      <c r="C45" s="2"/>
    </row>
    <row r="46">
      <c r="A46" s="4" t="s">
        <v>118</v>
      </c>
      <c r="B46" s="2"/>
      <c r="C46" s="2"/>
    </row>
    <row r="47">
      <c r="A47" s="4" t="s">
        <v>119</v>
      </c>
      <c r="B47" s="2"/>
      <c r="C47" s="2"/>
    </row>
    <row r="48">
      <c r="A48" s="4" t="s">
        <v>120</v>
      </c>
      <c r="B48" s="2"/>
      <c r="C48" s="2"/>
    </row>
    <row r="49">
      <c r="A49" s="2"/>
      <c r="B49" s="5" t="s">
        <v>6</v>
      </c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3" t="s">
        <v>121</v>
      </c>
      <c r="B52" s="2"/>
      <c r="C52" s="2"/>
    </row>
    <row r="53">
      <c r="A53" s="4" t="s">
        <v>66</v>
      </c>
      <c r="B53" s="2"/>
      <c r="C53" s="2"/>
    </row>
    <row r="54">
      <c r="A54" s="4" t="s">
        <v>122</v>
      </c>
      <c r="B54" s="2"/>
      <c r="C54" s="2"/>
    </row>
    <row r="55">
      <c r="A55" s="4" t="s">
        <v>115</v>
      </c>
      <c r="B55" s="2"/>
      <c r="C55" s="2"/>
    </row>
    <row r="56">
      <c r="A56" s="4" t="s">
        <v>123</v>
      </c>
      <c r="B56" s="2"/>
      <c r="C56" s="2"/>
    </row>
    <row r="57">
      <c r="A57" s="2"/>
      <c r="B57" s="5" t="s">
        <v>6</v>
      </c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3" t="s">
        <v>124</v>
      </c>
      <c r="B60" s="2"/>
      <c r="C60" s="2"/>
    </row>
    <row r="61">
      <c r="A61" s="4" t="s">
        <v>125</v>
      </c>
      <c r="B61" s="2"/>
      <c r="C61" s="2"/>
    </row>
    <row r="62">
      <c r="A62" s="4" t="s">
        <v>126</v>
      </c>
      <c r="B62" s="2"/>
      <c r="C62" s="2"/>
    </row>
    <row r="63">
      <c r="A63" s="4" t="s">
        <v>127</v>
      </c>
      <c r="B63" s="2"/>
      <c r="C63" s="2"/>
    </row>
    <row r="64">
      <c r="A64" s="4" t="s">
        <v>128</v>
      </c>
      <c r="B64" s="2"/>
      <c r="C64" s="2"/>
    </row>
    <row r="65">
      <c r="A65" s="2"/>
      <c r="B65" s="5" t="s">
        <v>6</v>
      </c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3" t="s">
        <v>129</v>
      </c>
      <c r="B68" s="2"/>
      <c r="C68" s="2"/>
    </row>
    <row r="69">
      <c r="A69" s="4" t="s">
        <v>130</v>
      </c>
      <c r="B69" s="2"/>
      <c r="C69" s="2"/>
    </row>
    <row r="70">
      <c r="A70" s="4" t="s">
        <v>131</v>
      </c>
      <c r="B70" s="2"/>
      <c r="C70" s="2"/>
    </row>
    <row r="71">
      <c r="A71" s="4" t="s">
        <v>132</v>
      </c>
      <c r="B71" s="2"/>
      <c r="C71" s="2"/>
    </row>
    <row r="72">
      <c r="A72" s="4" t="s">
        <v>53</v>
      </c>
      <c r="B72" s="2"/>
      <c r="C72" s="2"/>
    </row>
    <row r="73">
      <c r="A73" s="2"/>
      <c r="B73" s="5" t="s">
        <v>6</v>
      </c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3" t="s">
        <v>133</v>
      </c>
      <c r="B76" s="2"/>
      <c r="C76" s="2"/>
    </row>
    <row r="77">
      <c r="A77" s="4" t="s">
        <v>134</v>
      </c>
      <c r="B77" s="2"/>
      <c r="C77" s="2"/>
    </row>
    <row r="78">
      <c r="A78" s="4" t="s">
        <v>62</v>
      </c>
      <c r="B78" s="2"/>
      <c r="C78" s="2"/>
    </row>
    <row r="79">
      <c r="A79" s="4" t="s">
        <v>135</v>
      </c>
      <c r="B79" s="2"/>
      <c r="C79" s="2"/>
    </row>
    <row r="80">
      <c r="A80" s="4" t="s">
        <v>136</v>
      </c>
      <c r="B80" s="2"/>
      <c r="C80" s="2"/>
    </row>
    <row r="81">
      <c r="A81" s="2"/>
      <c r="B81" s="5" t="s">
        <v>6</v>
      </c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3" t="s">
        <v>137</v>
      </c>
      <c r="B84" s="2"/>
      <c r="C84" s="2"/>
    </row>
    <row r="85">
      <c r="A85" s="4" t="s">
        <v>138</v>
      </c>
      <c r="B85" s="2"/>
      <c r="C85" s="2"/>
    </row>
    <row r="86">
      <c r="A86" s="4" t="s">
        <v>51</v>
      </c>
      <c r="B86" s="2"/>
      <c r="C86" s="2"/>
    </row>
    <row r="87">
      <c r="A87" s="4" t="s">
        <v>68</v>
      </c>
      <c r="B87" s="2"/>
      <c r="C87" s="2"/>
    </row>
    <row r="88">
      <c r="A88" s="4" t="s">
        <v>123</v>
      </c>
      <c r="B88" s="2"/>
      <c r="C88" s="2"/>
    </row>
    <row r="89">
      <c r="A89" s="2"/>
      <c r="B89" s="5" t="s">
        <v>6</v>
      </c>
      <c r="C89" s="2"/>
    </row>
  </sheetData>
  <mergeCells count="1">
    <mergeCell ref="A1:C1"/>
  </mergeCells>
  <dataValidations>
    <dataValidation type="list" allowBlank="1" showErrorMessage="1" sqref="C9 C17 C25 C33 C41 C49 C57 C65 C73 C81 C89">
      <formula1>"A,B,C,D"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3.5"/>
  </cols>
  <sheetData>
    <row r="1">
      <c r="A1" s="17" t="s">
        <v>139</v>
      </c>
    </row>
    <row r="3">
      <c r="A3" s="18" t="s">
        <v>140</v>
      </c>
    </row>
    <row r="4">
      <c r="A4" s="2"/>
      <c r="B4" s="2"/>
    </row>
    <row r="5">
      <c r="A5" s="19" t="s">
        <v>141</v>
      </c>
    </row>
    <row r="6">
      <c r="A6" s="20" t="s">
        <v>142</v>
      </c>
      <c r="B6" s="21"/>
    </row>
    <row r="7">
      <c r="A7" s="22"/>
      <c r="B7" s="23"/>
    </row>
    <row r="8">
      <c r="A8" s="24"/>
      <c r="B8" s="25"/>
    </row>
    <row r="9">
      <c r="A9" s="2"/>
      <c r="B9" s="2"/>
    </row>
    <row r="10">
      <c r="A10" s="26" t="s">
        <v>143</v>
      </c>
    </row>
    <row r="11">
      <c r="A11" s="20" t="s">
        <v>144</v>
      </c>
      <c r="B11" s="21"/>
    </row>
    <row r="12">
      <c r="A12" s="24"/>
      <c r="B12" s="25"/>
    </row>
    <row r="13">
      <c r="A13" s="2"/>
      <c r="B13" s="2"/>
    </row>
    <row r="14">
      <c r="A14" s="26" t="s">
        <v>145</v>
      </c>
    </row>
    <row r="15">
      <c r="A15" s="20" t="s">
        <v>146</v>
      </c>
      <c r="B15" s="21"/>
    </row>
    <row r="16">
      <c r="A16" s="22"/>
      <c r="B16" s="23"/>
    </row>
    <row r="17">
      <c r="A17" s="22"/>
      <c r="B17" s="23"/>
    </row>
    <row r="18">
      <c r="A18" s="24"/>
      <c r="B18" s="25"/>
    </row>
    <row r="19">
      <c r="A19" s="2"/>
      <c r="B19" s="2"/>
    </row>
    <row r="20">
      <c r="A20" s="26" t="s">
        <v>147</v>
      </c>
      <c r="B20" s="27"/>
    </row>
  </sheetData>
  <mergeCells count="8">
    <mergeCell ref="A1:B2"/>
    <mergeCell ref="A3:B3"/>
    <mergeCell ref="A5:B5"/>
    <mergeCell ref="A6:B8"/>
    <mergeCell ref="A10:B10"/>
    <mergeCell ref="A11:B12"/>
    <mergeCell ref="A14:B14"/>
    <mergeCell ref="A15:B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3" max="3" width="48.25"/>
    <col customWidth="1" min="6" max="6" width="22.5"/>
  </cols>
  <sheetData>
    <row r="1">
      <c r="A1" s="28" t="s">
        <v>148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149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1"/>
      <c r="B3" s="31"/>
      <c r="C3" s="31"/>
      <c r="D3" s="31"/>
      <c r="E3" s="31"/>
      <c r="F3" s="31"/>
      <c r="G3" s="31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2" t="s">
        <v>150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3" t="s">
        <v>151</v>
      </c>
      <c r="B7" s="34" t="s">
        <v>152</v>
      </c>
      <c r="C7" s="35" t="s">
        <v>153</v>
      </c>
      <c r="D7" s="35" t="s">
        <v>154</v>
      </c>
      <c r="E7" s="29"/>
      <c r="F7" s="36" t="s">
        <v>155</v>
      </c>
      <c r="G7" s="37">
        <f>COUNTIF($D$8:$D$12, TRUE)
</f>
        <v>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8" t="s">
        <v>156</v>
      </c>
      <c r="B8" s="39" t="s">
        <v>157</v>
      </c>
      <c r="C8" s="40" t="s">
        <v>158</v>
      </c>
      <c r="D8" s="41" t="b">
        <v>0</v>
      </c>
      <c r="E8" s="29"/>
      <c r="F8" s="42" t="s">
        <v>159</v>
      </c>
      <c r="G8" s="43" t="str">
        <f>IF(G7=0,
 "Pick at least 1 focus.",
 IF(G7=1,
  "Good. You may pick one more focus.",
  IF(G7=2,
   "Perfect. Proceed to allocation.",
   "Too many selected."
  )
 )
)
</f>
        <v>Pick at least 1 focus.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8" t="s">
        <v>160</v>
      </c>
      <c r="B9" s="39" t="s">
        <v>161</v>
      </c>
      <c r="C9" s="40" t="s">
        <v>162</v>
      </c>
      <c r="D9" s="41" t="b">
        <v>0</v>
      </c>
      <c r="E9" s="29"/>
      <c r="F9" s="31"/>
      <c r="G9" s="31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8" t="s">
        <v>163</v>
      </c>
      <c r="B10" s="39" t="s">
        <v>164</v>
      </c>
      <c r="C10" s="40" t="s">
        <v>165</v>
      </c>
      <c r="D10" s="41" t="b"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8" t="s">
        <v>166</v>
      </c>
      <c r="B11" s="39" t="s">
        <v>167</v>
      </c>
      <c r="C11" s="40" t="s">
        <v>168</v>
      </c>
      <c r="D11" s="39" t="b">
        <v>0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8" t="s">
        <v>169</v>
      </c>
      <c r="B12" s="39" t="s">
        <v>170</v>
      </c>
      <c r="C12" s="40" t="s">
        <v>171</v>
      </c>
      <c r="D12" s="39" t="b"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2" t="s">
        <v>172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44" t="s">
        <v>173</v>
      </c>
      <c r="B16" s="45"/>
      <c r="C16" s="46" t="s">
        <v>174</v>
      </c>
      <c r="D16" s="31"/>
      <c r="E16" s="31"/>
      <c r="F16" s="31"/>
      <c r="G16" s="31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47" t="s">
        <v>175</v>
      </c>
      <c r="B18" s="29" t="str">
        <f t="array" ref="B18">IFERROR(INDEX($A$8:$A$12, MATCH(TRUE, $D$8:$D$12, 0)), "—")
</f>
        <v>—</v>
      </c>
      <c r="C18" s="48" t="str">
        <f>IFERROR(__xludf.DUMMYFUNCTION("IF(COUNTIF($D$8:$D$12, TRUE)&lt;&gt;2,
 ""—"",
 IFERROR(
   VALUE(REGEXEXTRACT($B$16, ""\((\d+)\s*/\s*\d+\)"")),
 ""—"")
)
"),"—")</f>
        <v>—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49" t="s">
        <v>176</v>
      </c>
      <c r="B19" s="29" t="str">
        <f>IFERROR(__xludf.DUMMYFUNCTION("IF(COUNTIF($D$8:$D$12, TRUE)&lt;&gt;2,
 ""—"",
 IFERROR(
   INDEX($A$8:$A$12,
     SMALL(
       FILTER(ROW($A$8:$A$12)-ROW($A$8)+1, $D$8:$D$12=TRUE),
       2
     )
   ),
 ""—"")
)
"),"—")</f>
        <v>—</v>
      </c>
      <c r="C19" s="48" t="str">
        <f>IFERROR(__xludf.DUMMYFUNCTION("IF(COUNTIF($D$8:$D$12, TRUE)&lt;&gt;2,
 ""—"",
 IFERROR(
   VALUE(REGEXEXTRACT($B$16, ""\(\d+\s*/\s*(\d+)\)"")),
 ""—"")
)
"),"—")</f>
        <v>—</v>
      </c>
      <c r="D19" s="31"/>
      <c r="E19" s="31"/>
      <c r="F19" s="29"/>
      <c r="G19" s="31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1"/>
      <c r="B20" s="29"/>
      <c r="C20" s="29"/>
      <c r="D20" s="31"/>
      <c r="E20" s="31"/>
      <c r="F20" s="29"/>
      <c r="G20" s="31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50" t="s">
        <v>177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1"/>
      <c r="B23" s="31"/>
      <c r="C23" s="31"/>
      <c r="D23" s="31"/>
      <c r="E23" s="31"/>
      <c r="F23" s="31"/>
      <c r="G23" s="31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51" t="s">
        <v>178</v>
      </c>
      <c r="B24" s="52" t="s">
        <v>179</v>
      </c>
      <c r="C24" s="29"/>
      <c r="D24" s="29"/>
      <c r="E24" s="51" t="s">
        <v>180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53" t="s">
        <v>181</v>
      </c>
      <c r="B25" s="54" t="s">
        <v>182</v>
      </c>
      <c r="C25" s="31"/>
      <c r="D25" s="29"/>
      <c r="E25" s="55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53" t="s">
        <v>183</v>
      </c>
      <c r="B26" s="54" t="s">
        <v>184</v>
      </c>
      <c r="C26" s="31"/>
      <c r="D26" s="29"/>
      <c r="E26" s="55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53" t="s">
        <v>185</v>
      </c>
      <c r="B27" s="54" t="s">
        <v>186</v>
      </c>
      <c r="C27" s="31"/>
      <c r="D27" s="29"/>
      <c r="E27" s="55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53" t="s">
        <v>187</v>
      </c>
      <c r="B28" s="54" t="s">
        <v>188</v>
      </c>
      <c r="C28" s="31"/>
      <c r="D28" s="29"/>
      <c r="E28" s="55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53" t="s">
        <v>189</v>
      </c>
      <c r="B29" s="54" t="s">
        <v>190</v>
      </c>
      <c r="C29" s="31"/>
      <c r="D29" s="29"/>
      <c r="E29" s="55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1"/>
      <c r="B31" s="31"/>
      <c r="C31" s="31"/>
      <c r="D31" s="31"/>
      <c r="E31" s="31"/>
      <c r="F31" s="31"/>
      <c r="G31" s="31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56" t="s">
        <v>191</v>
      </c>
      <c r="E33" s="57">
        <f>MIN(
  1.25,
  MAX(
    0.75,
    ROUND(
      1
      + IF(E34=1, 0.15, IF(E34=2, 0, -0.1))
      + IF(E35=1, 0.15, 0)
      + IF(E36=1, 0.1, 0),
    2)
  )
)
</f>
        <v>1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56" t="s">
        <v>155</v>
      </c>
      <c r="E34" s="57">
        <f>COUNTIF(D8:D12, TRUE)
</f>
        <v>0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56" t="s">
        <v>192</v>
      </c>
      <c r="E35" s="57">
        <f>IF(OR(B16="100 / 0", B16="0 / 100"), 1, 0)</f>
        <v>0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D36" s="56" t="s">
        <v>193</v>
      </c>
      <c r="E36" s="57">
        <f>IF(E31&lt;70, 1, 0)</f>
        <v>1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58" t="s">
        <v>194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6">
    <mergeCell ref="A1:G1"/>
    <mergeCell ref="A2:G2"/>
    <mergeCell ref="A5:G5"/>
    <mergeCell ref="A14:G14"/>
    <mergeCell ref="A22:G22"/>
    <mergeCell ref="A37:G40"/>
  </mergeCells>
  <dataValidations>
    <dataValidation type="list" allowBlank="1" showErrorMessage="1" sqref="B16">
      <formula1>"Balanced (50 / 50),Favor Focus #1 (70 / 30),Strongly Favor Focus #1 (80 / 20),Favor Focus #2 (30 / 70),Strongly Favor Focus #2 (20 / 80)"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63"/>
  </cols>
  <sheetData>
    <row r="1">
      <c r="A1" s="17" t="s">
        <v>195</v>
      </c>
    </row>
    <row r="3">
      <c r="A3" s="18" t="s">
        <v>196</v>
      </c>
    </row>
    <row r="4">
      <c r="A4" s="2"/>
      <c r="B4" s="2"/>
      <c r="C4" s="2"/>
      <c r="D4" s="2"/>
      <c r="E4" s="2"/>
    </row>
    <row r="5">
      <c r="A5" s="19" t="s">
        <v>197</v>
      </c>
    </row>
    <row r="6">
      <c r="A6" s="2"/>
      <c r="B6" s="2"/>
      <c r="C6" s="2"/>
      <c r="D6" s="2"/>
      <c r="E6" s="2"/>
    </row>
    <row r="7">
      <c r="A7" s="59" t="s">
        <v>198</v>
      </c>
      <c r="B7" s="60"/>
      <c r="C7" s="2"/>
      <c r="D7" s="2"/>
      <c r="E7" s="2"/>
    </row>
    <row r="8">
      <c r="A8" s="61" t="s">
        <v>199</v>
      </c>
      <c r="B8" s="62"/>
      <c r="C8" s="62"/>
      <c r="D8" s="62"/>
      <c r="E8" s="21"/>
    </row>
    <row r="9">
      <c r="A9" s="24"/>
      <c r="B9" s="63"/>
      <c r="C9" s="63"/>
      <c r="D9" s="63"/>
      <c r="E9" s="25"/>
    </row>
    <row r="10">
      <c r="A10" s="2"/>
      <c r="B10" s="2"/>
      <c r="C10" s="2"/>
      <c r="D10" s="2"/>
      <c r="E10" s="2"/>
    </row>
    <row r="11">
      <c r="A11" s="19" t="s">
        <v>200</v>
      </c>
    </row>
    <row r="12">
      <c r="A12" s="2"/>
      <c r="B12" s="2"/>
      <c r="C12" s="2"/>
      <c r="D12" s="2"/>
      <c r="E12" s="2"/>
    </row>
    <row r="13">
      <c r="A13" s="59" t="s">
        <v>201</v>
      </c>
      <c r="B13" s="60"/>
      <c r="C13" s="2"/>
      <c r="D13" s="2"/>
      <c r="E13" s="2"/>
    </row>
    <row r="14">
      <c r="A14" s="61" t="s">
        <v>202</v>
      </c>
      <c r="B14" s="62"/>
      <c r="C14" s="62"/>
      <c r="D14" s="62"/>
      <c r="E14" s="21"/>
    </row>
    <row r="15">
      <c r="A15" s="24"/>
      <c r="B15" s="63"/>
      <c r="C15" s="63"/>
      <c r="D15" s="63"/>
      <c r="E15" s="25"/>
    </row>
    <row r="16">
      <c r="A16" s="2"/>
      <c r="B16" s="2"/>
      <c r="C16" s="2"/>
      <c r="D16" s="2"/>
      <c r="E16" s="2"/>
    </row>
    <row r="17">
      <c r="A17" s="19" t="s">
        <v>203</v>
      </c>
    </row>
    <row r="18">
      <c r="A18" s="2"/>
      <c r="B18" s="2"/>
      <c r="C18" s="2"/>
      <c r="D18" s="2"/>
      <c r="E18" s="2"/>
    </row>
    <row r="19">
      <c r="A19" s="64" t="s">
        <v>204</v>
      </c>
      <c r="B19" s="65" t="s">
        <v>205</v>
      </c>
      <c r="C19" s="65" t="s">
        <v>206</v>
      </c>
      <c r="D19" s="65" t="s">
        <v>207</v>
      </c>
      <c r="E19" s="65" t="s">
        <v>208</v>
      </c>
    </row>
    <row r="20">
      <c r="A20" s="66" t="s">
        <v>209</v>
      </c>
      <c r="B20" s="67" t="str">
        <f>SIM!E26</f>
        <v/>
      </c>
      <c r="C20" s="67"/>
      <c r="D20" s="67"/>
      <c r="E20" s="68"/>
    </row>
    <row r="21">
      <c r="A21" s="66" t="s">
        <v>210</v>
      </c>
      <c r="B21" s="67" t="str">
        <f>SIM!E27</f>
        <v/>
      </c>
      <c r="C21" s="67"/>
      <c r="D21" s="67"/>
      <c r="E21" s="68"/>
    </row>
    <row r="22">
      <c r="A22" s="66" t="s">
        <v>211</v>
      </c>
      <c r="B22" s="67" t="str">
        <f>SIM!E28</f>
        <v/>
      </c>
      <c r="C22" s="67"/>
      <c r="D22" s="67"/>
      <c r="E22" s="68"/>
    </row>
    <row r="23">
      <c r="A23" s="66" t="s">
        <v>212</v>
      </c>
      <c r="B23" s="67" t="str">
        <f>SIM!E29</f>
        <v/>
      </c>
      <c r="C23" s="67"/>
      <c r="D23" s="67"/>
      <c r="E23" s="68"/>
    </row>
    <row r="24">
      <c r="A24" s="2"/>
      <c r="B24" s="2"/>
      <c r="C24" s="2"/>
      <c r="D24" s="2"/>
      <c r="E24" s="2"/>
    </row>
    <row r="25">
      <c r="A25" s="69" t="s">
        <v>213</v>
      </c>
      <c r="B25" s="70"/>
      <c r="C25" s="70"/>
      <c r="D25" s="71"/>
      <c r="E25" s="72"/>
    </row>
    <row r="26">
      <c r="A26" s="2"/>
      <c r="B26" s="2"/>
      <c r="C26" s="2"/>
      <c r="D26" s="2"/>
      <c r="E26" s="2"/>
    </row>
    <row r="27">
      <c r="A27" s="19" t="s">
        <v>214</v>
      </c>
    </row>
    <row r="28">
      <c r="A28" s="73"/>
      <c r="B28" s="70"/>
      <c r="C28" s="70"/>
      <c r="D28" s="70"/>
      <c r="E28" s="71"/>
    </row>
    <row r="29">
      <c r="A29" s="2"/>
      <c r="B29" s="2"/>
      <c r="C29" s="2"/>
      <c r="D29" s="2"/>
      <c r="E29" s="2"/>
    </row>
    <row r="30">
      <c r="A30" s="20"/>
      <c r="B30" s="62"/>
      <c r="C30" s="62"/>
      <c r="D30" s="62"/>
      <c r="E30" s="21"/>
    </row>
    <row r="31">
      <c r="A31" s="22"/>
      <c r="E31" s="23"/>
    </row>
    <row r="32">
      <c r="A32" s="24"/>
      <c r="B32" s="63"/>
      <c r="C32" s="63"/>
      <c r="D32" s="63"/>
      <c r="E32" s="25"/>
    </row>
    <row r="33">
      <c r="A33" s="2"/>
      <c r="B33" s="2"/>
      <c r="C33" s="2"/>
      <c r="D33" s="2"/>
      <c r="E33" s="2"/>
    </row>
    <row r="34">
      <c r="A34" s="19" t="s">
        <v>215</v>
      </c>
    </row>
    <row r="35">
      <c r="A35" s="74"/>
      <c r="B35" s="62"/>
      <c r="C35" s="62"/>
      <c r="D35" s="62"/>
      <c r="E35" s="21"/>
    </row>
    <row r="36">
      <c r="A36" s="22"/>
      <c r="E36" s="23"/>
    </row>
    <row r="37">
      <c r="A37" s="22"/>
      <c r="E37" s="23"/>
    </row>
    <row r="38">
      <c r="A38" s="24"/>
      <c r="B38" s="63"/>
      <c r="C38" s="63"/>
      <c r="D38" s="63"/>
      <c r="E38" s="25"/>
    </row>
  </sheetData>
  <mergeCells count="13">
    <mergeCell ref="A25:D25"/>
    <mergeCell ref="A27:E27"/>
    <mergeCell ref="A28:E28"/>
    <mergeCell ref="A30:E32"/>
    <mergeCell ref="A34:E34"/>
    <mergeCell ref="A35:E38"/>
    <mergeCell ref="A1:E2"/>
    <mergeCell ref="A3:E3"/>
    <mergeCell ref="A5:E5"/>
    <mergeCell ref="A8:E9"/>
    <mergeCell ref="A11:E11"/>
    <mergeCell ref="A14:E15"/>
    <mergeCell ref="A17:E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216</v>
      </c>
      <c r="H1" s="2"/>
      <c r="I1" s="2"/>
      <c r="J1" s="2"/>
      <c r="K1" s="2"/>
      <c r="L1" s="2"/>
    </row>
    <row r="2">
      <c r="H2" s="2"/>
      <c r="I2" s="2"/>
      <c r="J2" s="2"/>
      <c r="K2" s="2"/>
      <c r="L2" s="2"/>
    </row>
    <row r="3">
      <c r="A3" s="18" t="s">
        <v>217</v>
      </c>
      <c r="H3" s="2"/>
      <c r="I3" s="2"/>
      <c r="J3" s="2"/>
      <c r="K3" s="2"/>
      <c r="L3" s="2"/>
    </row>
    <row r="4">
      <c r="A4" s="75" t="s">
        <v>157</v>
      </c>
      <c r="B4" s="76">
        <v>8.0</v>
      </c>
      <c r="C4" s="76">
        <v>6.0</v>
      </c>
      <c r="D4" s="76">
        <v>6.0</v>
      </c>
      <c r="E4" s="76">
        <v>2.0</v>
      </c>
      <c r="F4" s="2"/>
      <c r="G4" s="2"/>
      <c r="H4" s="2"/>
      <c r="I4" s="2"/>
      <c r="J4" s="2"/>
      <c r="K4" s="2"/>
      <c r="L4" s="2"/>
    </row>
    <row r="5">
      <c r="A5" s="77" t="s">
        <v>218</v>
      </c>
      <c r="B5" s="70"/>
      <c r="C5" s="70"/>
      <c r="D5" s="70"/>
      <c r="E5" s="70"/>
      <c r="F5" s="70"/>
      <c r="G5" s="71"/>
      <c r="H5" s="2"/>
      <c r="I5" s="2"/>
      <c r="J5" s="2"/>
      <c r="K5" s="2"/>
      <c r="L5" s="2"/>
    </row>
    <row r="6">
      <c r="A6" s="78" t="s">
        <v>219</v>
      </c>
      <c r="B6" s="79" t="s">
        <v>220</v>
      </c>
      <c r="C6" s="80">
        <v>2.0</v>
      </c>
      <c r="D6" s="80">
        <v>10.0</v>
      </c>
      <c r="E6" s="80">
        <v>4.0</v>
      </c>
      <c r="F6" s="2"/>
      <c r="G6" s="2"/>
      <c r="H6" s="2"/>
      <c r="I6" s="2"/>
      <c r="J6" s="2"/>
      <c r="K6" s="2"/>
      <c r="L6" s="2"/>
    </row>
    <row r="7">
      <c r="A7" s="66" t="s">
        <v>221</v>
      </c>
      <c r="B7" s="81">
        <v>75.0</v>
      </c>
      <c r="C7" s="80">
        <v>12.0</v>
      </c>
      <c r="D7" s="80">
        <v>4.0</v>
      </c>
      <c r="E7" s="80">
        <v>2.0</v>
      </c>
      <c r="F7" s="2"/>
      <c r="G7" s="2"/>
      <c r="H7" s="2"/>
      <c r="I7" s="2"/>
      <c r="J7" s="2"/>
      <c r="K7" s="2"/>
      <c r="L7" s="2"/>
    </row>
    <row r="8">
      <c r="A8" s="66" t="s">
        <v>222</v>
      </c>
      <c r="B8" s="81">
        <v>65.0</v>
      </c>
      <c r="C8" s="80">
        <v>-2.0</v>
      </c>
      <c r="D8" s="80">
        <v>-2.0</v>
      </c>
      <c r="E8" s="80">
        <v>8.0</v>
      </c>
      <c r="F8" s="2"/>
      <c r="G8" s="2"/>
      <c r="H8" s="2"/>
      <c r="I8" s="2"/>
      <c r="J8" s="2"/>
      <c r="K8" s="2"/>
      <c r="L8" s="2"/>
    </row>
    <row r="9">
      <c r="A9" s="66" t="s">
        <v>223</v>
      </c>
      <c r="B9" s="81">
        <v>85.0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19" t="s">
        <v>224</v>
      </c>
      <c r="H11" s="2"/>
      <c r="I11" s="2"/>
      <c r="J11" s="2"/>
      <c r="K11" s="2"/>
      <c r="L11" s="2"/>
    </row>
    <row r="12">
      <c r="A12" s="64" t="s">
        <v>141</v>
      </c>
      <c r="B12" s="65" t="s">
        <v>209</v>
      </c>
      <c r="C12" s="65" t="s">
        <v>210</v>
      </c>
      <c r="D12" s="65" t="s">
        <v>225</v>
      </c>
      <c r="E12" s="65" t="s">
        <v>226</v>
      </c>
      <c r="F12" s="65" t="s">
        <v>227</v>
      </c>
      <c r="G12" s="2"/>
      <c r="H12" s="2"/>
      <c r="I12" s="2"/>
      <c r="J12" s="2"/>
      <c r="K12" s="2"/>
      <c r="L12" s="2"/>
    </row>
    <row r="13">
      <c r="A13" s="66" t="s">
        <v>228</v>
      </c>
      <c r="B13" s="67">
        <v>-6.0</v>
      </c>
      <c r="C13" s="67">
        <v>-4.0</v>
      </c>
      <c r="D13" s="67">
        <v>-10.0</v>
      </c>
      <c r="E13" s="67">
        <v>-2.0</v>
      </c>
      <c r="F13" s="82" t="s">
        <v>229</v>
      </c>
      <c r="G13" s="83" t="s">
        <v>230</v>
      </c>
      <c r="H13" s="83" t="s">
        <v>209</v>
      </c>
      <c r="I13" s="83" t="s">
        <v>210</v>
      </c>
      <c r="J13" s="83" t="s">
        <v>211</v>
      </c>
      <c r="K13" s="83" t="s">
        <v>212</v>
      </c>
      <c r="L13" s="83" t="s">
        <v>231</v>
      </c>
    </row>
    <row r="14">
      <c r="A14" s="66" t="s">
        <v>232</v>
      </c>
      <c r="B14" s="67">
        <v>-2.0</v>
      </c>
      <c r="C14" s="67">
        <v>-10.0</v>
      </c>
      <c r="D14" s="67">
        <v>-4.0</v>
      </c>
      <c r="E14" s="67">
        <v>-2.0</v>
      </c>
      <c r="F14" s="82" t="s">
        <v>233</v>
      </c>
      <c r="G14" s="80" t="s">
        <v>234</v>
      </c>
      <c r="H14" s="80">
        <v>0.0</v>
      </c>
      <c r="I14" s="80">
        <v>4.0</v>
      </c>
      <c r="J14" s="80">
        <v>4.0</v>
      </c>
      <c r="K14" s="80">
        <v>0.0</v>
      </c>
      <c r="L14" s="80" t="s">
        <v>235</v>
      </c>
    </row>
    <row r="15">
      <c r="A15" s="66" t="s">
        <v>236</v>
      </c>
      <c r="B15" s="67">
        <v>-8.0</v>
      </c>
      <c r="C15" s="67">
        <v>-2.0</v>
      </c>
      <c r="D15" s="67">
        <v>-2.0</v>
      </c>
      <c r="E15" s="67">
        <v>-10.0</v>
      </c>
      <c r="F15" s="82" t="s">
        <v>237</v>
      </c>
      <c r="G15" s="80" t="s">
        <v>238</v>
      </c>
      <c r="H15" s="80">
        <v>0.0</v>
      </c>
      <c r="I15" s="80">
        <v>4.0</v>
      </c>
      <c r="J15" s="80">
        <v>4.0</v>
      </c>
      <c r="K15" s="80">
        <v>0.0</v>
      </c>
      <c r="L15" s="80" t="s">
        <v>235</v>
      </c>
    </row>
    <row r="16">
      <c r="A16" s="84" t="s">
        <v>164</v>
      </c>
      <c r="B16" s="80" t="s">
        <v>157</v>
      </c>
      <c r="C16" s="80">
        <v>0.0</v>
      </c>
      <c r="D16" s="80">
        <v>0.0</v>
      </c>
      <c r="E16" s="80">
        <v>4.0</v>
      </c>
      <c r="F16" s="80">
        <v>0.0</v>
      </c>
      <c r="G16" s="80" t="s">
        <v>239</v>
      </c>
      <c r="H16" s="80">
        <v>4.0</v>
      </c>
      <c r="I16" s="80">
        <v>0.0</v>
      </c>
      <c r="J16" s="80">
        <v>-2.0</v>
      </c>
      <c r="K16" s="80">
        <v>2.0</v>
      </c>
      <c r="L16" s="80" t="s">
        <v>235</v>
      </c>
    </row>
    <row r="17">
      <c r="A17" s="84" t="s">
        <v>164</v>
      </c>
      <c r="B17" s="80" t="s">
        <v>161</v>
      </c>
      <c r="C17" s="80">
        <v>2.0</v>
      </c>
      <c r="D17" s="80">
        <v>-2.0</v>
      </c>
      <c r="E17" s="80">
        <v>0.0</v>
      </c>
      <c r="F17" s="80">
        <v>0.0</v>
      </c>
      <c r="G17" s="80" t="s">
        <v>240</v>
      </c>
      <c r="H17" s="80">
        <v>4.0</v>
      </c>
      <c r="I17" s="80">
        <v>0.0</v>
      </c>
      <c r="J17" s="80">
        <v>-2.0</v>
      </c>
      <c r="K17" s="80">
        <v>2.0</v>
      </c>
      <c r="L17" s="80" t="s">
        <v>235</v>
      </c>
    </row>
    <row r="18">
      <c r="A18" s="85" t="s">
        <v>241</v>
      </c>
      <c r="B18" s="63"/>
      <c r="C18" s="63"/>
      <c r="D18" s="63"/>
      <c r="E18" s="63"/>
      <c r="F18" s="63"/>
      <c r="G18" s="25"/>
      <c r="H18" s="80">
        <v>0.0</v>
      </c>
      <c r="I18" s="80">
        <v>0.0</v>
      </c>
      <c r="J18" s="80">
        <v>4.0</v>
      </c>
      <c r="K18" s="80">
        <v>0.0</v>
      </c>
      <c r="L18" s="80" t="s">
        <v>235</v>
      </c>
    </row>
    <row r="19">
      <c r="A19" s="86" t="s">
        <v>242</v>
      </c>
      <c r="B19" s="87" t="s">
        <v>209</v>
      </c>
      <c r="C19" s="87" t="s">
        <v>210</v>
      </c>
      <c r="D19" s="87" t="s">
        <v>225</v>
      </c>
      <c r="E19" s="87" t="s">
        <v>226</v>
      </c>
      <c r="F19" s="87" t="s">
        <v>243</v>
      </c>
      <c r="G19" s="80" t="s">
        <v>244</v>
      </c>
      <c r="H19" s="80">
        <v>0.0</v>
      </c>
      <c r="I19" s="80">
        <v>0.0</v>
      </c>
      <c r="J19" s="80">
        <v>4.0</v>
      </c>
      <c r="K19" s="80">
        <v>0.0</v>
      </c>
      <c r="L19" s="80" t="s">
        <v>235</v>
      </c>
    </row>
    <row r="20">
      <c r="A20" s="66" t="s">
        <v>245</v>
      </c>
      <c r="B20" s="67">
        <v>-6.0</v>
      </c>
      <c r="C20" s="67">
        <v>0.0</v>
      </c>
      <c r="D20" s="67">
        <v>4.0</v>
      </c>
      <c r="E20" s="67">
        <v>1.0</v>
      </c>
      <c r="F20" s="82" t="s">
        <v>246</v>
      </c>
      <c r="G20" s="80" t="s">
        <v>247</v>
      </c>
      <c r="H20" s="80">
        <v>2.0</v>
      </c>
      <c r="I20" s="80">
        <v>-2.0</v>
      </c>
      <c r="J20" s="80">
        <v>0.0</v>
      </c>
      <c r="K20" s="80">
        <v>0.0</v>
      </c>
      <c r="L20" s="80" t="s">
        <v>235</v>
      </c>
    </row>
    <row r="21">
      <c r="A21" s="66" t="s">
        <v>248</v>
      </c>
      <c r="B21" s="67">
        <v>-2.0</v>
      </c>
      <c r="C21" s="67">
        <v>-2.0</v>
      </c>
      <c r="D21" s="67">
        <v>6.0</v>
      </c>
      <c r="E21" s="67">
        <v>1.0</v>
      </c>
      <c r="F21" s="82" t="s">
        <v>249</v>
      </c>
      <c r="G21" s="80" t="s">
        <v>250</v>
      </c>
      <c r="H21" s="80">
        <v>2.0</v>
      </c>
      <c r="I21" s="80">
        <v>-2.0</v>
      </c>
      <c r="J21" s="80">
        <v>0.0</v>
      </c>
      <c r="K21" s="80">
        <v>0.0</v>
      </c>
      <c r="L21" s="80" t="s">
        <v>235</v>
      </c>
    </row>
    <row r="22">
      <c r="A22" s="66" t="s">
        <v>251</v>
      </c>
      <c r="B22" s="67">
        <v>2.0</v>
      </c>
      <c r="C22" s="67">
        <v>2.0</v>
      </c>
      <c r="D22" s="67">
        <v>-6.0</v>
      </c>
      <c r="E22" s="67">
        <v>-1.0</v>
      </c>
      <c r="F22" s="82" t="s">
        <v>252</v>
      </c>
      <c r="G22" s="2"/>
      <c r="H22" s="2"/>
      <c r="I22" s="2"/>
      <c r="J22" s="2"/>
      <c r="K22" s="2"/>
      <c r="L22" s="2"/>
    </row>
    <row r="23">
      <c r="A23" s="66" t="s">
        <v>253</v>
      </c>
      <c r="B23" s="67">
        <v>-8.0</v>
      </c>
      <c r="C23" s="67">
        <v>-4.0</v>
      </c>
      <c r="D23" s="67">
        <v>2.0</v>
      </c>
      <c r="E23" s="67">
        <v>-2.0</v>
      </c>
      <c r="F23" s="82" t="s">
        <v>254</v>
      </c>
      <c r="G23" s="2"/>
      <c r="H23" s="2"/>
      <c r="I23" s="2"/>
      <c r="J23" s="2"/>
      <c r="K23" s="2"/>
      <c r="L23" s="2"/>
    </row>
  </sheetData>
  <mergeCells count="5">
    <mergeCell ref="A1:G2"/>
    <mergeCell ref="A3:G3"/>
    <mergeCell ref="A5:G5"/>
    <mergeCell ref="A11:G11"/>
    <mergeCell ref="A18:G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255</v>
      </c>
      <c r="B1" s="65" t="s">
        <v>256</v>
      </c>
      <c r="C1" s="65" t="s">
        <v>257</v>
      </c>
      <c r="D1" s="65" t="s">
        <v>258</v>
      </c>
      <c r="E1" s="65" t="s">
        <v>259</v>
      </c>
      <c r="F1" s="65" t="s">
        <v>260</v>
      </c>
      <c r="G1" s="65" t="s">
        <v>261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</cols>
  <sheetData>
    <row r="1">
      <c r="A1" s="17" t="s">
        <v>262</v>
      </c>
    </row>
    <row r="3">
      <c r="A3" s="2"/>
      <c r="B3" s="2"/>
      <c r="C3" s="2"/>
      <c r="D3" s="2"/>
      <c r="E3" s="2"/>
    </row>
    <row r="4">
      <c r="A4" s="64" t="s">
        <v>263</v>
      </c>
      <c r="B4" s="65" t="s">
        <v>264</v>
      </c>
      <c r="C4" s="65" t="s">
        <v>265</v>
      </c>
      <c r="D4" s="65" t="s">
        <v>266</v>
      </c>
      <c r="E4" s="2"/>
    </row>
    <row r="5">
      <c r="A5" s="88" t="s">
        <v>267</v>
      </c>
      <c r="B5" s="89" t="s">
        <v>267</v>
      </c>
      <c r="C5" s="89" t="s">
        <v>267</v>
      </c>
      <c r="D5" s="89" t="s">
        <v>267</v>
      </c>
      <c r="E5" s="2"/>
    </row>
    <row r="6">
      <c r="A6" s="2"/>
      <c r="B6" s="2"/>
      <c r="C6" s="2"/>
      <c r="D6" s="2"/>
      <c r="E6" s="2"/>
    </row>
    <row r="7">
      <c r="A7" s="19" t="s">
        <v>268</v>
      </c>
    </row>
    <row r="8">
      <c r="A8" s="2"/>
      <c r="B8" s="2"/>
      <c r="C8" s="2"/>
      <c r="D8" s="2"/>
      <c r="E8" s="2"/>
    </row>
    <row r="9">
      <c r="A9" s="59" t="s">
        <v>269</v>
      </c>
      <c r="B9" s="65" t="s">
        <v>270</v>
      </c>
      <c r="C9" s="2"/>
      <c r="D9" s="2"/>
      <c r="E9" s="2"/>
    </row>
    <row r="10">
      <c r="A10" s="66" t="s">
        <v>88</v>
      </c>
      <c r="B10" s="67" t="s">
        <v>267</v>
      </c>
      <c r="C10" s="2"/>
      <c r="D10" s="2"/>
      <c r="E10" s="2"/>
    </row>
    <row r="11">
      <c r="A11" s="66" t="s">
        <v>90</v>
      </c>
      <c r="B11" s="67" t="s">
        <v>267</v>
      </c>
      <c r="C11" s="2"/>
      <c r="D11" s="2"/>
      <c r="E11" s="2"/>
    </row>
    <row r="12">
      <c r="A12" s="66" t="s">
        <v>81</v>
      </c>
      <c r="B12" s="67" t="s">
        <v>267</v>
      </c>
      <c r="C12" s="2"/>
      <c r="D12" s="2"/>
      <c r="E12" s="2"/>
    </row>
    <row r="13">
      <c r="A13" s="66" t="s">
        <v>83</v>
      </c>
      <c r="B13" s="67" t="s">
        <v>267</v>
      </c>
      <c r="C13" s="2"/>
      <c r="D13" s="2"/>
      <c r="E13" s="2"/>
    </row>
    <row r="14">
      <c r="A14" s="66" t="s">
        <v>89</v>
      </c>
      <c r="B14" s="67" t="s">
        <v>267</v>
      </c>
      <c r="C14" s="2"/>
      <c r="D14" s="2"/>
      <c r="E14" s="2"/>
    </row>
    <row r="15">
      <c r="A15" s="66" t="s">
        <v>93</v>
      </c>
      <c r="B15" s="67" t="s">
        <v>267</v>
      </c>
      <c r="C15" s="2"/>
      <c r="D15" s="2"/>
      <c r="E15" s="2"/>
    </row>
    <row r="16">
      <c r="A16" s="66" t="s">
        <v>86</v>
      </c>
      <c r="B16" s="67" t="s">
        <v>267</v>
      </c>
      <c r="C16" s="2"/>
      <c r="D16" s="2"/>
      <c r="E16" s="2"/>
    </row>
    <row r="17">
      <c r="A17" s="2"/>
      <c r="B17" s="2"/>
      <c r="C17" s="2"/>
      <c r="D17" s="2"/>
      <c r="E17" s="2"/>
    </row>
    <row r="18">
      <c r="A18" s="20" t="s">
        <v>271</v>
      </c>
      <c r="B18" s="62"/>
      <c r="C18" s="62"/>
      <c r="D18" s="62"/>
      <c r="E18" s="21"/>
    </row>
    <row r="19">
      <c r="A19" s="22"/>
      <c r="E19" s="23"/>
    </row>
    <row r="20">
      <c r="A20" s="24"/>
      <c r="B20" s="63"/>
      <c r="C20" s="63"/>
      <c r="D20" s="63"/>
      <c r="E20" s="25"/>
    </row>
  </sheetData>
  <mergeCells count="3">
    <mergeCell ref="A1:E2"/>
    <mergeCell ref="A7:E7"/>
    <mergeCell ref="A18:E20"/>
  </mergeCells>
  <drawing r:id="rId1"/>
</worksheet>
</file>